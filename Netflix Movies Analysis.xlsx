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giris\OneDrive\Desktop\Data Ananlytics\Projects\Excel\Netflix Movies Analysis\"/>
    </mc:Choice>
  </mc:AlternateContent>
  <xr:revisionPtr revIDLastSave="0" documentId="13_ncr:1_{6E4343C9-5CF6-4BE7-8DB0-B04FAE314645}" xr6:coauthVersionLast="47" xr6:coauthVersionMax="47" xr10:uidLastSave="{00000000-0000-0000-0000-000000000000}"/>
  <bookViews>
    <workbookView xWindow="-108" yWindow="-108" windowWidth="23256" windowHeight="12456" activeTab="2" xr2:uid="{7D64DC3F-7C38-4A1E-BE57-DE5E142F4324}"/>
  </bookViews>
  <sheets>
    <sheet name="Back End" sheetId="4" r:id="rId1"/>
    <sheet name="Dashbaord" sheetId="2" r:id="rId2"/>
    <sheet name="Netflix Movies Data" sheetId="1" r:id="rId3"/>
  </sheets>
  <definedNames>
    <definedName name="Slicer_Age_Rating1">#N/A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E182" i="4"/>
  <c r="E128" i="4"/>
  <c r="E101" i="4"/>
  <c r="A7" i="4"/>
  <c r="E190" i="4"/>
  <c r="B7" i="4"/>
</calcChain>
</file>

<file path=xl/sharedStrings.xml><?xml version="1.0" encoding="utf-8"?>
<sst xmlns="http://schemas.openxmlformats.org/spreadsheetml/2006/main" count="268" uniqueCount="107">
  <si>
    <t>Name</t>
  </si>
  <si>
    <t>Year</t>
  </si>
  <si>
    <t>Age Rating</t>
  </si>
  <si>
    <t>Duration</t>
  </si>
  <si>
    <t>Category</t>
  </si>
  <si>
    <t>IMDb Rating</t>
  </si>
  <si>
    <t xml:space="preserve">Casablanca </t>
  </si>
  <si>
    <t xml:space="preserve"> PG </t>
  </si>
  <si>
    <t xml:space="preserve"> Drama/Romance </t>
  </si>
  <si>
    <t xml:space="preserve">Psycho </t>
  </si>
  <si>
    <t xml:space="preserve"> R </t>
  </si>
  <si>
    <t xml:space="preserve"> Horror/Thriller </t>
  </si>
  <si>
    <t xml:space="preserve">The Godfather </t>
  </si>
  <si>
    <t xml:space="preserve"> Crime/Drama </t>
  </si>
  <si>
    <t xml:space="preserve">Star Wars: Episode IV - A New Hope </t>
  </si>
  <si>
    <t xml:space="preserve"> Action/Adventure </t>
  </si>
  <si>
    <t xml:space="preserve">E.T. the Extra-Terrestrial </t>
  </si>
  <si>
    <t xml:space="preserve"> Family/Sci-Fi </t>
  </si>
  <si>
    <t xml:space="preserve">Terminator 2: Judgment Day </t>
  </si>
  <si>
    <t xml:space="preserve"> Action/Sci-Fi </t>
  </si>
  <si>
    <t xml:space="preserve">Forrest Gump </t>
  </si>
  <si>
    <t xml:space="preserve"> PG-13 </t>
  </si>
  <si>
    <t xml:space="preserve">Titanic </t>
  </si>
  <si>
    <t xml:space="preserve">The Matrix </t>
  </si>
  <si>
    <t xml:space="preserve">Gladiator </t>
  </si>
  <si>
    <t xml:space="preserve"> Action/Drama </t>
  </si>
  <si>
    <t xml:space="preserve">The Lord of the Rings: The Fellowship of the Ring </t>
  </si>
  <si>
    <t xml:space="preserve"> Adventure/Drama </t>
  </si>
  <si>
    <t xml:space="preserve">Spirited Away </t>
  </si>
  <si>
    <t xml:space="preserve"> Animation/Adventure </t>
  </si>
  <si>
    <t xml:space="preserve">The Dark Knight </t>
  </si>
  <si>
    <t xml:space="preserve"> Action/Crime </t>
  </si>
  <si>
    <t xml:space="preserve">Inception </t>
  </si>
  <si>
    <t xml:space="preserve">The Avengers </t>
  </si>
  <si>
    <t xml:space="preserve">Django Unchained </t>
  </si>
  <si>
    <t xml:space="preserve"> Drama/Western </t>
  </si>
  <si>
    <t xml:space="preserve">Frozen </t>
  </si>
  <si>
    <t xml:space="preserve">Interstellar </t>
  </si>
  <si>
    <t xml:space="preserve">The Martian </t>
  </si>
  <si>
    <t xml:space="preserve"> Adventure/Sci-Fi </t>
  </si>
  <si>
    <t xml:space="preserve">La La Land </t>
  </si>
  <si>
    <t xml:space="preserve"> Comedy/Drama </t>
  </si>
  <si>
    <t xml:space="preserve">Get Out </t>
  </si>
  <si>
    <t xml:space="preserve"> Horror/Mystery </t>
  </si>
  <si>
    <t xml:space="preserve">The Shape of Water </t>
  </si>
  <si>
    <t xml:space="preserve">Black Panther </t>
  </si>
  <si>
    <t xml:space="preserve">Joker </t>
  </si>
  <si>
    <t xml:space="preserve">Parasite </t>
  </si>
  <si>
    <t xml:space="preserve">The Shawshank Redemption </t>
  </si>
  <si>
    <t xml:space="preserve"> Drama </t>
  </si>
  <si>
    <t xml:space="preserve">Pulp Fiction </t>
  </si>
  <si>
    <t xml:space="preserve">Schindler's List </t>
  </si>
  <si>
    <t xml:space="preserve"> Biography/Drama </t>
  </si>
  <si>
    <t xml:space="preserve">The Silence of the Lambs </t>
  </si>
  <si>
    <t xml:space="preserve">The Green Mile </t>
  </si>
  <si>
    <t xml:space="preserve">Fight Club </t>
  </si>
  <si>
    <t xml:space="preserve">The Prestige </t>
  </si>
  <si>
    <t xml:space="preserve"> Drama/Mystery </t>
  </si>
  <si>
    <t xml:space="preserve">The Departed </t>
  </si>
  <si>
    <t xml:space="preserve">No Country for Old Men </t>
  </si>
  <si>
    <t xml:space="preserve">Slumdog Millionaire </t>
  </si>
  <si>
    <t xml:space="preserve">The Social Network </t>
  </si>
  <si>
    <t xml:space="preserve">The Grand Budapest Hotel </t>
  </si>
  <si>
    <t xml:space="preserve"> Adventure/Comedy </t>
  </si>
  <si>
    <t xml:space="preserve">Whiplash </t>
  </si>
  <si>
    <t xml:space="preserve"> Drama/Music </t>
  </si>
  <si>
    <t xml:space="preserve">Birdman or (The Unexpected Virtue of Ignorance) </t>
  </si>
  <si>
    <t xml:space="preserve">Spotlight </t>
  </si>
  <si>
    <t xml:space="preserve">Moonlight </t>
  </si>
  <si>
    <t xml:space="preserve">Three Billboards Outside Ebbing, Missouri </t>
  </si>
  <si>
    <t xml:space="preserve">Roma </t>
  </si>
  <si>
    <t xml:space="preserve">Once Upon a Time in Hollywood </t>
  </si>
  <si>
    <t xml:space="preserve">1917 </t>
  </si>
  <si>
    <t xml:space="preserve"> Drama/War </t>
  </si>
  <si>
    <t xml:space="preserve">Dunkirk </t>
  </si>
  <si>
    <t xml:space="preserve">The Revenant </t>
  </si>
  <si>
    <t xml:space="preserve">Arrival </t>
  </si>
  <si>
    <t xml:space="preserve"> Drama/Sci-Fi </t>
  </si>
  <si>
    <t xml:space="preserve">Her </t>
  </si>
  <si>
    <t xml:space="preserve">Gone Girl </t>
  </si>
  <si>
    <t>Row Labels</t>
  </si>
  <si>
    <t>Grand Total</t>
  </si>
  <si>
    <t>Count of Name</t>
  </si>
  <si>
    <t>Average of IMDb Rating</t>
  </si>
  <si>
    <t>Total Movies</t>
  </si>
  <si>
    <t>Average IMDB Rating</t>
  </si>
  <si>
    <t xml:space="preserve"> </t>
  </si>
  <si>
    <t>Sum of IMDb Rating</t>
  </si>
  <si>
    <t>Count of Category</t>
  </si>
  <si>
    <t>Top Genre</t>
  </si>
  <si>
    <t>Max of IMDb Rating</t>
  </si>
  <si>
    <t>Highest Rated Movie</t>
  </si>
  <si>
    <t>Dominant Age Rating</t>
  </si>
  <si>
    <t>Average of Duration</t>
  </si>
  <si>
    <t>=VALUE(LEFT(TRIM([@Duration]), FIND(" ", TRIM([@Duration])) - 1))</t>
  </si>
  <si>
    <t>Average Duration</t>
  </si>
  <si>
    <t>KPI's</t>
  </si>
  <si>
    <t>Movies By Year</t>
  </si>
  <si>
    <t>Age Rating Distribution</t>
  </si>
  <si>
    <t>Movies by Age Rating</t>
  </si>
  <si>
    <t>Genre Popularity vs. IMDB Rating</t>
  </si>
  <si>
    <t>Top 5 Movies</t>
  </si>
  <si>
    <t>Avg Duration</t>
  </si>
  <si>
    <t>Rating Range</t>
  </si>
  <si>
    <t>7-7.9</t>
  </si>
  <si>
    <t>8 - 8.9</t>
  </si>
  <si>
    <t>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</si>
</sst>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Calibri"/>
      <family val="2"/>
      <scheme val="minor"/>
    </font>
    <font>
      <b/>
      <sz val="12"/>
      <color rgb="FFFFFFFF"/>
      <name val="Calibri"/>
      <family val="2"/>
    </font>
    <font>
      <sz val="11"/>
      <color rgb="FF000000"/>
      <name val="Calibri"/>
      <family val="2"/>
    </font>
    <font>
      <sz val="11"/>
      <color theme="1"/>
      <name val="Bebas Neue"/>
      <family val="2"/>
    </font>
    <font>
      <b/>
      <sz val="11"/>
      <color theme="1"/>
      <name val="Calibri"/>
      <family val="2"/>
      <scheme val="minor"/>
    </font>
  </fonts>
  <fills count="5">
    <fill>
      <patternFill patternType="none"/>
    </fill>
    <fill>
      <patternFill patternType="gray125"/>
    </fill>
    <fill>
      <patternFill patternType="solid">
        <fgColor rgb="FF272760"/>
        <bgColor indexed="64"/>
      </patternFill>
    </fill>
    <fill>
      <patternFill patternType="solid">
        <fgColor theme="4" tint="0.79998168889431442"/>
        <bgColor theme="4" tint="0.79998168889431442"/>
      </patternFill>
    </fill>
    <fill>
      <patternFill patternType="solid">
        <fgColor rgb="FFFFFF00"/>
        <bgColor indexed="64"/>
      </patternFill>
    </fill>
  </fills>
  <borders count="21">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0">
    <xf numFmtId="0" fontId="0" fillId="0" borderId="0" xfId="0"/>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3" fillId="0" borderId="0" xfId="0" applyFont="1"/>
    <xf numFmtId="0" fontId="2" fillId="3" borderId="1" xfId="0" applyFont="1" applyFill="1" applyBorder="1" applyAlignment="1">
      <alignment vertical="center"/>
    </xf>
    <xf numFmtId="0" fontId="0" fillId="0" borderId="11" xfId="0" applyBorder="1"/>
    <xf numFmtId="0" fontId="0" fillId="0" borderId="12" xfId="0" applyBorder="1"/>
    <xf numFmtId="0" fontId="0" fillId="0" borderId="13" xfId="0" applyBorder="1"/>
    <xf numFmtId="164" fontId="0" fillId="0" borderId="14" xfId="0" applyNumberFormat="1" applyBorder="1"/>
    <xf numFmtId="0" fontId="4" fillId="4" borderId="15" xfId="0" applyFont="1" applyFill="1" applyBorder="1" applyAlignment="1">
      <alignment horizontal="center"/>
    </xf>
    <xf numFmtId="0" fontId="0" fillId="0" borderId="11" xfId="0" pivotButton="1" applyBorder="1"/>
    <xf numFmtId="0" fontId="0" fillId="0" borderId="11" xfId="0" applyBorder="1" applyAlignment="1">
      <alignment horizontal="left"/>
    </xf>
    <xf numFmtId="0" fontId="0" fillId="0" borderId="14" xfId="0" applyBorder="1"/>
    <xf numFmtId="2" fontId="0" fillId="0" borderId="12" xfId="0" applyNumberFormat="1" applyBorder="1"/>
    <xf numFmtId="2" fontId="0" fillId="0" borderId="14" xfId="0" applyNumberFormat="1" applyBorder="1"/>
    <xf numFmtId="0" fontId="0" fillId="0" borderId="16" xfId="0" applyBorder="1"/>
    <xf numFmtId="0" fontId="0" fillId="0" borderId="10" xfId="0" applyBorder="1"/>
    <xf numFmtId="0" fontId="4" fillId="4" borderId="10" xfId="0" applyFont="1" applyFill="1" applyBorder="1" applyAlignment="1">
      <alignment horizontal="center"/>
    </xf>
    <xf numFmtId="0" fontId="4" fillId="4" borderId="18" xfId="0" applyFont="1" applyFill="1" applyBorder="1" applyAlignment="1">
      <alignment horizontal="center"/>
    </xf>
    <xf numFmtId="0" fontId="0" fillId="0" borderId="19" xfId="0" applyBorder="1" applyAlignment="1">
      <alignment horizontal="left"/>
    </xf>
    <xf numFmtId="0" fontId="0" fillId="0" borderId="20" xfId="0" applyBorder="1" applyAlignment="1">
      <alignment horizontal="left"/>
    </xf>
    <xf numFmtId="0" fontId="0" fillId="0" borderId="20" xfId="0" pivotButton="1" applyBorder="1"/>
    <xf numFmtId="0" fontId="0" fillId="0" borderId="20" xfId="0" applyBorder="1"/>
    <xf numFmtId="0" fontId="1" fillId="2" borderId="5" xfId="0" applyFont="1" applyFill="1" applyBorder="1" applyAlignment="1">
      <alignment horizontal="right" vertical="center"/>
    </xf>
    <xf numFmtId="0" fontId="2" fillId="0" borderId="5" xfId="0" applyFont="1" applyBorder="1" applyAlignment="1">
      <alignment horizontal="right" vertical="center"/>
    </xf>
    <xf numFmtId="0" fontId="2" fillId="0" borderId="1" xfId="0" applyFont="1" applyBorder="1" applyAlignment="1">
      <alignment horizontal="right" vertical="center"/>
    </xf>
    <xf numFmtId="0" fontId="2" fillId="0" borderId="8" xfId="0" applyFont="1" applyBorder="1" applyAlignment="1">
      <alignment horizontal="right" vertical="center"/>
    </xf>
    <xf numFmtId="0" fontId="0" fillId="0" borderId="0" xfId="0" applyAlignment="1">
      <alignment horizontal="right"/>
    </xf>
    <xf numFmtId="0" fontId="0" fillId="0" borderId="19" xfId="0" applyBorder="1"/>
    <xf numFmtId="0" fontId="0" fillId="0" borderId="15" xfId="0" applyBorder="1"/>
    <xf numFmtId="1" fontId="0" fillId="0" borderId="10" xfId="0" applyNumberFormat="1" applyBorder="1"/>
    <xf numFmtId="0" fontId="4" fillId="4" borderId="15" xfId="0" applyFont="1" applyFill="1" applyBorder="1" applyAlignment="1">
      <alignment horizontal="center"/>
    </xf>
    <xf numFmtId="0" fontId="4" fillId="4" borderId="16" xfId="0" applyFont="1" applyFill="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4" fillId="4" borderId="17" xfId="0" applyFont="1" applyFill="1" applyBorder="1" applyAlignment="1">
      <alignment horizontal="center"/>
    </xf>
    <xf numFmtId="0" fontId="0" fillId="0" borderId="19" xfId="0" applyNumberFormat="1" applyBorder="1"/>
    <xf numFmtId="0" fontId="0" fillId="0" borderId="20" xfId="0" applyNumberFormat="1" applyBorder="1"/>
    <xf numFmtId="0" fontId="0" fillId="0" borderId="13" xfId="0" applyNumberFormat="1" applyBorder="1"/>
    <xf numFmtId="0" fontId="0" fillId="0" borderId="15" xfId="0" applyNumberFormat="1" applyBorder="1"/>
    <xf numFmtId="0" fontId="0" fillId="0" borderId="16" xfId="0" applyNumberFormat="1" applyBorder="1"/>
    <xf numFmtId="0" fontId="0" fillId="0" borderId="11" xfId="0" applyNumberFormat="1" applyBorder="1"/>
    <xf numFmtId="0" fontId="0" fillId="0" borderId="10" xfId="0" applyNumberFormat="1" applyBorder="1"/>
  </cellXfs>
  <cellStyles count="1">
    <cellStyle name="Normal" xfId="0" builtinId="0"/>
  </cellStyles>
  <dxfs count="202">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b val="0"/>
        <i val="0"/>
        <strike val="0"/>
        <condense val="0"/>
        <extend val="0"/>
        <outline val="0"/>
        <shadow val="0"/>
        <u val="none"/>
        <vertAlign val="baseline"/>
        <sz val="11"/>
        <color rgb="FF000000"/>
        <name val="Calibri"/>
        <family val="2"/>
        <scheme val="none"/>
      </font>
      <numFmt numFmtId="0" formatCode="General"/>
      <alignment horizontal="right" vertical="center"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numFmt numFmtId="0" formatCode="General"/>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dxf>
    <dxf>
      <border outline="0">
        <bottom style="thin">
          <color rgb="FFD9D9D9"/>
        </bottom>
      </border>
    </dxf>
    <dxf>
      <font>
        <b/>
        <i val="0"/>
        <strike val="0"/>
        <condense val="0"/>
        <extend val="0"/>
        <outline val="0"/>
        <shadow val="0"/>
        <u val="none"/>
        <vertAlign val="baseline"/>
        <sz val="12"/>
        <color rgb="FFFFFFFF"/>
        <name val="Calibri"/>
        <family val="2"/>
        <scheme val="none"/>
      </font>
      <fill>
        <patternFill patternType="solid">
          <fgColor indexed="64"/>
          <bgColor rgb="FF272760"/>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rgb="FFFFCACA"/>
      </font>
      <fill>
        <patternFill patternType="none">
          <bgColor auto="1"/>
        </patternFill>
      </fill>
    </dxf>
    <dxf>
      <font>
        <b val="0"/>
        <i val="0"/>
        <sz val="12"/>
        <color theme="0" tint="-0.14996795556505021"/>
        <name val="Segoe UI Black"/>
        <family val="2"/>
        <scheme val="none"/>
      </font>
      <border diagonalUp="0" diagonalDown="0">
        <left/>
        <right/>
        <top/>
        <bottom/>
        <vertical/>
        <horizontal/>
      </border>
    </dxf>
    <dxf>
      <font>
        <color theme="0"/>
      </font>
      <fill>
        <patternFill>
          <bgColor theme="2" tint="-0.749961851863155"/>
        </patternFill>
      </fill>
      <border diagonalUp="0" diagonalDown="0">
        <left/>
        <right/>
        <top/>
        <bottom/>
        <vertical/>
        <horizontal/>
      </border>
    </dxf>
  </dxfs>
  <tableStyles count="2" defaultTableStyle="TableStyleMedium2" defaultPivotStyle="PivotStyleLight16">
    <tableStyle name="Netflix Dark Red" pivot="0" table="0" count="10" xr9:uid="{56789B34-9C9F-4832-95B7-F07105EF4383}">
      <tableStyleElement type="wholeTable" dxfId="201"/>
      <tableStyleElement type="headerRow" dxfId="200"/>
    </tableStyle>
    <tableStyle name="Slicer Style 1" pivot="0" table="0" count="1" xr9:uid="{191304D1-5282-4984-AC5A-501DF62AA1AD}">
      <tableStyleElement type="wholeTable" dxfId="199"/>
    </tableStyle>
  </tableStyles>
  <colors>
    <mruColors>
      <color rgb="FFE50914"/>
      <color rgb="FFFF7A7A"/>
      <color rgb="FFFFCACA"/>
      <color rgb="FFFF4C4C"/>
      <color rgb="FF2C2C2C"/>
      <color rgb="FF1E1E1E"/>
      <color rgb="FFD70303"/>
      <color rgb="FFB20710"/>
      <color rgb="FFF5B7B1"/>
      <color rgb="FFD61C4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sz val="11"/>
            <color rgb="FFE50914"/>
            <name val="Calibri"/>
            <family val="2"/>
            <scheme val="none"/>
          </font>
          <fill>
            <patternFill patternType="solid">
              <fgColor theme="0"/>
              <bgColor rgb="FFFFCACA"/>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0"/>
            <color rgb="FFFFCACA"/>
            <name val="Calibri"/>
            <family val="2"/>
            <scheme val="none"/>
          </font>
          <fill>
            <patternFill patternType="solid">
              <fgColor rgb="FFFFCACA"/>
              <bgColor rgb="FFE50914"/>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Netflix Dark Re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Movies Analysis.xlsx]Back End!PivotTable3</c:name>
    <c:fmtId val="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'Back End'!$B$11</c:f>
              <c:strCache>
                <c:ptCount val="1"/>
                <c:pt idx="0">
                  <c:v>Total</c:v>
                </c:pt>
              </c:strCache>
            </c:strRef>
          </c:tx>
          <c:spPr>
            <a:ln w="28575" cap="rnd">
              <a:solidFill>
                <a:schemeClr val="accent1"/>
              </a:solidFill>
              <a:round/>
            </a:ln>
            <a:effectLst/>
          </c:spPr>
          <c:marker>
            <c:symbol val="none"/>
          </c:marker>
          <c:cat>
            <c:strRef>
              <c:f>'Back End'!$A$12:$A$30</c:f>
              <c:strCache>
                <c:ptCount val="18"/>
                <c:pt idx="0">
                  <c:v>1960</c:v>
                </c:pt>
                <c:pt idx="1">
                  <c:v>1972</c:v>
                </c:pt>
                <c:pt idx="2">
                  <c:v>1991</c:v>
                </c:pt>
                <c:pt idx="3">
                  <c:v>1993</c:v>
                </c:pt>
                <c:pt idx="4">
                  <c:v>1994</c:v>
                </c:pt>
                <c:pt idx="5">
                  <c:v>1999</c:v>
                </c:pt>
                <c:pt idx="6">
                  <c:v>2000</c:v>
                </c:pt>
                <c:pt idx="7">
                  <c:v>2006</c:v>
                </c:pt>
                <c:pt idx="8">
                  <c:v>2007</c:v>
                </c:pt>
                <c:pt idx="9">
                  <c:v>2008</c:v>
                </c:pt>
                <c:pt idx="10">
                  <c:v>2012</c:v>
                </c:pt>
                <c:pt idx="11">
                  <c:v>2013</c:v>
                </c:pt>
                <c:pt idx="12">
                  <c:v>2014</c:v>
                </c:pt>
                <c:pt idx="13">
                  <c:v>2015</c:v>
                </c:pt>
                <c:pt idx="14">
                  <c:v>2016</c:v>
                </c:pt>
                <c:pt idx="15">
                  <c:v>2017</c:v>
                </c:pt>
                <c:pt idx="16">
                  <c:v>2018</c:v>
                </c:pt>
                <c:pt idx="17">
                  <c:v>2019</c:v>
                </c:pt>
              </c:strCache>
            </c:strRef>
          </c:cat>
          <c:val>
            <c:numRef>
              <c:f>'Back End'!$B$12:$B$30</c:f>
              <c:numCache>
                <c:formatCode>General</c:formatCode>
                <c:ptCount val="18"/>
                <c:pt idx="0">
                  <c:v>1</c:v>
                </c:pt>
                <c:pt idx="1">
                  <c:v>1</c:v>
                </c:pt>
                <c:pt idx="2">
                  <c:v>2</c:v>
                </c:pt>
                <c:pt idx="3">
                  <c:v>1</c:v>
                </c:pt>
                <c:pt idx="4">
                  <c:v>2</c:v>
                </c:pt>
                <c:pt idx="5">
                  <c:v>3</c:v>
                </c:pt>
                <c:pt idx="6">
                  <c:v>1</c:v>
                </c:pt>
                <c:pt idx="7">
                  <c:v>1</c:v>
                </c:pt>
                <c:pt idx="8">
                  <c:v>1</c:v>
                </c:pt>
                <c:pt idx="9">
                  <c:v>1</c:v>
                </c:pt>
                <c:pt idx="10">
                  <c:v>1</c:v>
                </c:pt>
                <c:pt idx="11">
                  <c:v>1</c:v>
                </c:pt>
                <c:pt idx="12">
                  <c:v>4</c:v>
                </c:pt>
                <c:pt idx="13">
                  <c:v>2</c:v>
                </c:pt>
                <c:pt idx="14">
                  <c:v>1</c:v>
                </c:pt>
                <c:pt idx="15">
                  <c:v>3</c:v>
                </c:pt>
                <c:pt idx="16">
                  <c:v>1</c:v>
                </c:pt>
                <c:pt idx="17">
                  <c:v>4</c:v>
                </c:pt>
              </c:numCache>
            </c:numRef>
          </c:val>
          <c:smooth val="0"/>
          <c:extLst>
            <c:ext xmlns:c16="http://schemas.microsoft.com/office/drawing/2014/chart" uri="{C3380CC4-5D6E-409C-BE32-E72D297353CC}">
              <c16:uniqueId val="{00000000-246C-4DAE-B090-67C5BA5CD6B4}"/>
            </c:ext>
          </c:extLst>
        </c:ser>
        <c:dLbls>
          <c:showLegendKey val="0"/>
          <c:showVal val="0"/>
          <c:showCatName val="0"/>
          <c:showSerName val="0"/>
          <c:showPercent val="0"/>
          <c:showBubbleSize val="0"/>
        </c:dLbls>
        <c:smooth val="0"/>
        <c:axId val="507599504"/>
        <c:axId val="507599984"/>
      </c:lineChart>
      <c:catAx>
        <c:axId val="507599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599984"/>
        <c:crosses val="autoZero"/>
        <c:auto val="1"/>
        <c:lblAlgn val="ctr"/>
        <c:lblOffset val="100"/>
        <c:noMultiLvlLbl val="0"/>
      </c:catAx>
      <c:valAx>
        <c:axId val="50759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59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Movies Analysis.xlsx]Back End!PivotTable4</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'Back End'!$B$40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F7-4094-80CD-B7C9786B22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F7-4094-80CD-B7C9786B22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F7-4094-80CD-B7C9786B22CB}"/>
              </c:ext>
            </c:extLst>
          </c:dPt>
          <c:cat>
            <c:strRef>
              <c:f>'Back End'!$A$41:$A$44</c:f>
              <c:strCache>
                <c:ptCount val="3"/>
                <c:pt idx="0">
                  <c:v>7-7.9</c:v>
                </c:pt>
                <c:pt idx="1">
                  <c:v>8 - 8.9</c:v>
                </c:pt>
                <c:pt idx="2">
                  <c:v>9+</c:v>
                </c:pt>
              </c:strCache>
            </c:strRef>
          </c:cat>
          <c:val>
            <c:numRef>
              <c:f>'Back End'!$B$41:$B$44</c:f>
              <c:numCache>
                <c:formatCode>General</c:formatCode>
                <c:ptCount val="3"/>
                <c:pt idx="0">
                  <c:v>13</c:v>
                </c:pt>
                <c:pt idx="1">
                  <c:v>34</c:v>
                </c:pt>
                <c:pt idx="2">
                  <c:v>3</c:v>
                </c:pt>
              </c:numCache>
            </c:numRef>
          </c:val>
          <c:extLst>
            <c:ext xmlns:c16="http://schemas.microsoft.com/office/drawing/2014/chart" uri="{C3380CC4-5D6E-409C-BE32-E72D297353CC}">
              <c16:uniqueId val="{00000008-FDD1-4AA7-88C1-26119BE64F0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Movies Analysis.xlsx]Back End!PivotTable5</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5462668816039986E-17"/>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0185067526415994E-16"/>
              <c:y val="-0.416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'Back End'!$B$51</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8D82-4059-AF3C-452CB8AA6F59}"/>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8D82-4059-AF3C-452CB8AA6F59}"/>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8D82-4059-AF3C-452CB8AA6F59}"/>
              </c:ext>
            </c:extLst>
          </c:dPt>
          <c:dLbls>
            <c:dLbl>
              <c:idx val="0"/>
              <c:layout>
                <c:manualLayout>
                  <c:x val="-2.5462668816039986E-17"/>
                  <c:y val="-0.115740740740740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D82-4059-AF3C-452CB8AA6F59}"/>
                </c:ext>
              </c:extLst>
            </c:dLbl>
            <c:dLbl>
              <c:idx val="1"/>
              <c:layout>
                <c:manualLayout>
                  <c:x val="0"/>
                  <c:y val="-0.2129629629629630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82-4059-AF3C-452CB8AA6F59}"/>
                </c:ext>
              </c:extLst>
            </c:dLbl>
            <c:dLbl>
              <c:idx val="2"/>
              <c:layout>
                <c:manualLayout>
                  <c:x val="-1.0185067526415994E-16"/>
                  <c:y val="-0.416666666666666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82-4059-AF3C-452CB8AA6F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 End'!$A$52:$A$55</c:f>
              <c:strCache>
                <c:ptCount val="3"/>
                <c:pt idx="0">
                  <c:v> PG </c:v>
                </c:pt>
                <c:pt idx="1">
                  <c:v> PG-13 </c:v>
                </c:pt>
                <c:pt idx="2">
                  <c:v> R </c:v>
                </c:pt>
              </c:strCache>
            </c:strRef>
          </c:cat>
          <c:val>
            <c:numRef>
              <c:f>'Back End'!$B$52:$B$55</c:f>
              <c:numCache>
                <c:formatCode>General</c:formatCode>
                <c:ptCount val="3"/>
                <c:pt idx="0">
                  <c:v>5</c:v>
                </c:pt>
                <c:pt idx="1">
                  <c:v>14</c:v>
                </c:pt>
                <c:pt idx="2">
                  <c:v>31</c:v>
                </c:pt>
              </c:numCache>
            </c:numRef>
          </c:val>
          <c:extLst>
            <c:ext xmlns:c16="http://schemas.microsoft.com/office/drawing/2014/chart" uri="{C3380CC4-5D6E-409C-BE32-E72D297353CC}">
              <c16:uniqueId val="{00000000-8D82-4059-AF3C-452CB8AA6F59}"/>
            </c:ext>
          </c:extLst>
        </c:ser>
        <c:dLbls>
          <c:dLblPos val="ctr"/>
          <c:showLegendKey val="0"/>
          <c:showVal val="1"/>
          <c:showCatName val="0"/>
          <c:showSerName val="0"/>
          <c:showPercent val="0"/>
          <c:showBubbleSize val="0"/>
        </c:dLbls>
        <c:gapWidth val="150"/>
        <c:overlap val="100"/>
        <c:axId val="503475840"/>
        <c:axId val="503459520"/>
      </c:barChart>
      <c:catAx>
        <c:axId val="503475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59520"/>
        <c:crosses val="autoZero"/>
        <c:auto val="1"/>
        <c:lblAlgn val="ctr"/>
        <c:lblOffset val="100"/>
        <c:noMultiLvlLbl val="0"/>
      </c:catAx>
      <c:valAx>
        <c:axId val="503459520"/>
        <c:scaling>
          <c:orientation val="minMax"/>
        </c:scaling>
        <c:delete val="1"/>
        <c:axPos val="l"/>
        <c:numFmt formatCode="General" sourceLinked="1"/>
        <c:majorTickMark val="out"/>
        <c:minorTickMark val="none"/>
        <c:tickLblPos val="nextTo"/>
        <c:crossAx val="50347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Movies Analysis.xlsx]Back End!PivotTable6</c:name>
    <c:fmtId val="4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 End'!$B$63</c:f>
              <c:strCache>
                <c:ptCount val="1"/>
                <c:pt idx="0">
                  <c:v>Count of Name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 End'!$A$64:$A$70</c:f>
              <c:strCache>
                <c:ptCount val="6"/>
                <c:pt idx="0">
                  <c:v> Action/Drama </c:v>
                </c:pt>
                <c:pt idx="1">
                  <c:v> Action/Sci-Fi </c:v>
                </c:pt>
                <c:pt idx="2">
                  <c:v> Biography/Drama </c:v>
                </c:pt>
                <c:pt idx="3">
                  <c:v> Crime/Drama </c:v>
                </c:pt>
                <c:pt idx="4">
                  <c:v> Drama/Music </c:v>
                </c:pt>
                <c:pt idx="5">
                  <c:v> Horror/Thriller </c:v>
                </c:pt>
              </c:strCache>
            </c:strRef>
          </c:cat>
          <c:val>
            <c:numRef>
              <c:f>'Back End'!$B$64:$B$70</c:f>
              <c:numCache>
                <c:formatCode>General</c:formatCode>
                <c:ptCount val="6"/>
                <c:pt idx="0">
                  <c:v>1</c:v>
                </c:pt>
                <c:pt idx="1">
                  <c:v>2</c:v>
                </c:pt>
                <c:pt idx="2">
                  <c:v>1</c:v>
                </c:pt>
                <c:pt idx="3">
                  <c:v>9</c:v>
                </c:pt>
                <c:pt idx="4">
                  <c:v>1</c:v>
                </c:pt>
                <c:pt idx="5">
                  <c:v>1</c:v>
                </c:pt>
              </c:numCache>
            </c:numRef>
          </c:val>
          <c:extLst>
            <c:ext xmlns:c16="http://schemas.microsoft.com/office/drawing/2014/chart" uri="{C3380CC4-5D6E-409C-BE32-E72D297353CC}">
              <c16:uniqueId val="{00000000-41E9-4645-9788-BD4F3D382CEA}"/>
            </c:ext>
          </c:extLst>
        </c:ser>
        <c:dLbls>
          <c:dLblPos val="outEnd"/>
          <c:showLegendKey val="0"/>
          <c:showVal val="1"/>
          <c:showCatName val="0"/>
          <c:showSerName val="0"/>
          <c:showPercent val="0"/>
          <c:showBubbleSize val="0"/>
        </c:dLbls>
        <c:gapWidth val="150"/>
        <c:axId val="1087489136"/>
        <c:axId val="1087491536"/>
      </c:barChart>
      <c:lineChart>
        <c:grouping val="standard"/>
        <c:varyColors val="0"/>
        <c:ser>
          <c:idx val="1"/>
          <c:order val="1"/>
          <c:tx>
            <c:strRef>
              <c:f>'Back End'!$C$63</c:f>
              <c:strCache>
                <c:ptCount val="1"/>
                <c:pt idx="0">
                  <c:v>Average of IMDb Rating</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 End'!$A$64:$A$70</c:f>
              <c:strCache>
                <c:ptCount val="6"/>
                <c:pt idx="0">
                  <c:v> Action/Drama </c:v>
                </c:pt>
                <c:pt idx="1">
                  <c:v> Action/Sci-Fi </c:v>
                </c:pt>
                <c:pt idx="2">
                  <c:v> Biography/Drama </c:v>
                </c:pt>
                <c:pt idx="3">
                  <c:v> Crime/Drama </c:v>
                </c:pt>
                <c:pt idx="4">
                  <c:v> Drama/Music </c:v>
                </c:pt>
                <c:pt idx="5">
                  <c:v> Horror/Thriller </c:v>
                </c:pt>
              </c:strCache>
            </c:strRef>
          </c:cat>
          <c:val>
            <c:numRef>
              <c:f>'Back End'!$C$64:$C$70</c:f>
              <c:numCache>
                <c:formatCode>0.00</c:formatCode>
                <c:ptCount val="6"/>
                <c:pt idx="0">
                  <c:v>8.5</c:v>
                </c:pt>
                <c:pt idx="1">
                  <c:v>8.6</c:v>
                </c:pt>
                <c:pt idx="2">
                  <c:v>8.9</c:v>
                </c:pt>
                <c:pt idx="3">
                  <c:v>8.5111111111111111</c:v>
                </c:pt>
                <c:pt idx="4">
                  <c:v>8.5</c:v>
                </c:pt>
                <c:pt idx="5">
                  <c:v>8.5</c:v>
                </c:pt>
              </c:numCache>
            </c:numRef>
          </c:val>
          <c:smooth val="0"/>
          <c:extLst>
            <c:ext xmlns:c16="http://schemas.microsoft.com/office/drawing/2014/chart" uri="{C3380CC4-5D6E-409C-BE32-E72D297353CC}">
              <c16:uniqueId val="{00000001-41E9-4645-9788-BD4F3D382CEA}"/>
            </c:ext>
          </c:extLst>
        </c:ser>
        <c:dLbls>
          <c:showLegendKey val="0"/>
          <c:showVal val="1"/>
          <c:showCatName val="0"/>
          <c:showSerName val="0"/>
          <c:showPercent val="0"/>
          <c:showBubbleSize val="0"/>
        </c:dLbls>
        <c:marker val="1"/>
        <c:smooth val="0"/>
        <c:axId val="1087494896"/>
        <c:axId val="1087495376"/>
      </c:lineChart>
      <c:catAx>
        <c:axId val="1087489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491536"/>
        <c:crosses val="autoZero"/>
        <c:auto val="1"/>
        <c:lblAlgn val="ctr"/>
        <c:lblOffset val="100"/>
        <c:noMultiLvlLbl val="0"/>
      </c:catAx>
      <c:valAx>
        <c:axId val="1087491536"/>
        <c:scaling>
          <c:orientation val="minMax"/>
        </c:scaling>
        <c:delete val="0"/>
        <c:axPos val="l"/>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489136"/>
        <c:crosses val="autoZero"/>
        <c:crossBetween val="between"/>
      </c:valAx>
      <c:valAx>
        <c:axId val="1087495376"/>
        <c:scaling>
          <c:orientation val="minMax"/>
        </c:scaling>
        <c:delete val="0"/>
        <c:axPos val="r"/>
        <c:numFmt formatCode="0.00" sourceLinked="1"/>
        <c:majorTickMark val="none"/>
        <c:minorTickMark val="none"/>
        <c:tickLblPos val="low"/>
        <c:spPr>
          <a:noFill/>
          <a:ln>
            <a:solidFill>
              <a:schemeClr val="dk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494896"/>
        <c:crosses val="max"/>
        <c:crossBetween val="between"/>
      </c:valAx>
      <c:catAx>
        <c:axId val="1087494896"/>
        <c:scaling>
          <c:orientation val="minMax"/>
        </c:scaling>
        <c:delete val="1"/>
        <c:axPos val="t"/>
        <c:numFmt formatCode="General" sourceLinked="1"/>
        <c:majorTickMark val="out"/>
        <c:minorTickMark val="none"/>
        <c:tickLblPos val="nextTo"/>
        <c:crossAx val="1087495376"/>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Movies Analysis.xlsx]Back End!PivotTable1</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'Back End'!$B$81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 End'!$A$82:$A$87</c:f>
              <c:strCache>
                <c:ptCount val="5"/>
                <c:pt idx="0">
                  <c:v>Fight Club </c:v>
                </c:pt>
                <c:pt idx="1">
                  <c:v>Schindler's List </c:v>
                </c:pt>
                <c:pt idx="2">
                  <c:v>Pulp Fiction </c:v>
                </c:pt>
                <c:pt idx="3">
                  <c:v>The Godfather </c:v>
                </c:pt>
                <c:pt idx="4">
                  <c:v>The Shawshank Redemption </c:v>
                </c:pt>
              </c:strCache>
            </c:strRef>
          </c:cat>
          <c:val>
            <c:numRef>
              <c:f>'Back End'!$B$82:$B$87</c:f>
              <c:numCache>
                <c:formatCode>General</c:formatCode>
                <c:ptCount val="5"/>
                <c:pt idx="0">
                  <c:v>8.8000000000000007</c:v>
                </c:pt>
                <c:pt idx="1">
                  <c:v>8.9</c:v>
                </c:pt>
                <c:pt idx="2">
                  <c:v>8.9</c:v>
                </c:pt>
                <c:pt idx="3">
                  <c:v>9.1999999999999993</c:v>
                </c:pt>
                <c:pt idx="4">
                  <c:v>9.3000000000000007</c:v>
                </c:pt>
              </c:numCache>
            </c:numRef>
          </c:val>
          <c:extLst>
            <c:ext xmlns:c16="http://schemas.microsoft.com/office/drawing/2014/chart" uri="{C3380CC4-5D6E-409C-BE32-E72D297353CC}">
              <c16:uniqueId val="{00000000-F6EF-4550-A02B-91B16D84BDA8}"/>
            </c:ext>
          </c:extLst>
        </c:ser>
        <c:dLbls>
          <c:dLblPos val="inEnd"/>
          <c:showLegendKey val="0"/>
          <c:showVal val="1"/>
          <c:showCatName val="0"/>
          <c:showSerName val="0"/>
          <c:showPercent val="0"/>
          <c:showBubbleSize val="0"/>
        </c:dLbls>
        <c:gapWidth val="150"/>
        <c:overlap val="100"/>
        <c:axId val="676173279"/>
        <c:axId val="676156959"/>
      </c:barChart>
      <c:catAx>
        <c:axId val="6761732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156959"/>
        <c:crosses val="autoZero"/>
        <c:auto val="1"/>
        <c:lblAlgn val="ctr"/>
        <c:lblOffset val="100"/>
        <c:noMultiLvlLbl val="0"/>
      </c:catAx>
      <c:valAx>
        <c:axId val="67615695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17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Movies Analysis.xlsx]Back End!PivotTable4</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20710"/>
          </a:solidFill>
          <a:ln w="19050">
            <a:noFill/>
          </a:ln>
          <a:effectLst/>
        </c:spPr>
      </c:pivotFmt>
      <c:pivotFmt>
        <c:idx val="7"/>
        <c:spPr>
          <a:solidFill>
            <a:srgbClr val="E50914"/>
          </a:solidFill>
          <a:ln w="19050">
            <a:noFill/>
          </a:ln>
          <a:effectLst/>
        </c:spPr>
      </c:pivotFmt>
      <c:pivotFmt>
        <c:idx val="8"/>
        <c:spPr>
          <a:solidFill>
            <a:srgbClr val="F5B7B1"/>
          </a:solidFill>
          <a:ln w="19050">
            <a:noFill/>
          </a:ln>
          <a:effectLst>
            <a:outerShdw blurRad="50800" dist="25400" dir="5400000" algn="ctr" rotWithShape="0">
              <a:srgbClr val="000000">
                <a:alpha val="43137"/>
              </a:srgbClr>
            </a:outerShdw>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rgbClr val="FFCACA"/>
          </a:solidFill>
          <a:ln w="19050">
            <a:noFill/>
          </a:ln>
          <a:effectLst/>
        </c:spPr>
      </c:pivotFmt>
      <c:pivotFmt>
        <c:idx val="15"/>
        <c:spPr>
          <a:solidFill>
            <a:srgbClr val="E50914"/>
          </a:solidFill>
          <a:ln w="19050">
            <a:noFill/>
          </a:ln>
          <a:effectLst/>
        </c:spPr>
      </c:pivotFmt>
      <c:pivotFmt>
        <c:idx val="16"/>
        <c:spPr>
          <a:solidFill>
            <a:srgbClr val="C00000"/>
          </a:solidFill>
          <a:ln w="19050">
            <a:noFill/>
          </a:ln>
          <a:effectLst/>
        </c:spPr>
      </c:pivotFmt>
    </c:pivotFmts>
    <c:plotArea>
      <c:layout/>
      <c:pieChart>
        <c:varyColors val="1"/>
        <c:ser>
          <c:idx val="0"/>
          <c:order val="0"/>
          <c:tx>
            <c:strRef>
              <c:f>'Back End'!$B$40</c:f>
              <c:strCache>
                <c:ptCount val="1"/>
                <c:pt idx="0">
                  <c:v>Total</c:v>
                </c:pt>
              </c:strCache>
            </c:strRef>
          </c:tx>
          <c:explosion val="2"/>
          <c:dPt>
            <c:idx val="0"/>
            <c:bubble3D val="0"/>
            <c:spPr>
              <a:solidFill>
                <a:srgbClr val="E50914"/>
              </a:solidFill>
              <a:ln w="19050">
                <a:noFill/>
              </a:ln>
              <a:effectLst/>
            </c:spPr>
            <c:extLst>
              <c:ext xmlns:c16="http://schemas.microsoft.com/office/drawing/2014/chart" uri="{C3380CC4-5D6E-409C-BE32-E72D297353CC}">
                <c16:uniqueId val="{00000001-0087-44F5-BB1E-A7F60316F04F}"/>
              </c:ext>
            </c:extLst>
          </c:dPt>
          <c:dPt>
            <c:idx val="1"/>
            <c:bubble3D val="0"/>
            <c:spPr>
              <a:solidFill>
                <a:srgbClr val="FFCACA"/>
              </a:solidFill>
              <a:ln w="19050">
                <a:noFill/>
              </a:ln>
              <a:effectLst/>
            </c:spPr>
            <c:extLst>
              <c:ext xmlns:c16="http://schemas.microsoft.com/office/drawing/2014/chart" uri="{C3380CC4-5D6E-409C-BE32-E72D297353CC}">
                <c16:uniqueId val="{00000003-0087-44F5-BB1E-A7F60316F04F}"/>
              </c:ext>
            </c:extLst>
          </c:dPt>
          <c:dPt>
            <c:idx val="2"/>
            <c:bubble3D val="0"/>
            <c:spPr>
              <a:solidFill>
                <a:srgbClr val="C00000"/>
              </a:solidFill>
              <a:ln w="19050">
                <a:noFill/>
              </a:ln>
              <a:effectLst/>
            </c:spPr>
            <c:extLst>
              <c:ext xmlns:c16="http://schemas.microsoft.com/office/drawing/2014/chart" uri="{C3380CC4-5D6E-409C-BE32-E72D297353CC}">
                <c16:uniqueId val="{00000005-0087-44F5-BB1E-A7F60316F04F}"/>
              </c:ext>
            </c:extLst>
          </c:dPt>
          <c:cat>
            <c:strRef>
              <c:f>'Back End'!$A$41:$A$44</c:f>
              <c:strCache>
                <c:ptCount val="3"/>
                <c:pt idx="0">
                  <c:v>7-7.9</c:v>
                </c:pt>
                <c:pt idx="1">
                  <c:v>8 - 8.9</c:v>
                </c:pt>
                <c:pt idx="2">
                  <c:v>9+</c:v>
                </c:pt>
              </c:strCache>
            </c:strRef>
          </c:cat>
          <c:val>
            <c:numRef>
              <c:f>'Back End'!$B$41:$B$44</c:f>
              <c:numCache>
                <c:formatCode>General</c:formatCode>
                <c:ptCount val="3"/>
                <c:pt idx="0">
                  <c:v>13</c:v>
                </c:pt>
                <c:pt idx="1">
                  <c:v>34</c:v>
                </c:pt>
                <c:pt idx="2">
                  <c:v>3</c:v>
                </c:pt>
              </c:numCache>
            </c:numRef>
          </c:val>
          <c:extLst>
            <c:ext xmlns:c16="http://schemas.microsoft.com/office/drawing/2014/chart" uri="{C3380CC4-5D6E-409C-BE32-E72D297353CC}">
              <c16:uniqueId val="{00000008-A74E-46BD-94D8-0DA8FD04678C}"/>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700" b="1" i="0" u="none" strike="noStrike" kern="1200" baseline="0">
                <a:solidFill>
                  <a:srgbClr val="FFCACA"/>
                </a:solidFill>
                <a:latin typeface="Arial Black" panose="020B0A04020102020204" pitchFamily="34" charset="0"/>
                <a:ea typeface="+mn-ea"/>
                <a:cs typeface="+mn-cs"/>
              </a:defRPr>
            </a:pPr>
            <a:endParaRPr lang="en-US"/>
          </a:p>
        </c:txPr>
      </c:legendEntry>
      <c:legendEntry>
        <c:idx val="1"/>
        <c:txPr>
          <a:bodyPr rot="0" spcFirstLastPara="1" vertOverflow="ellipsis" vert="horz" wrap="square" anchor="ctr" anchorCtr="1"/>
          <a:lstStyle/>
          <a:p>
            <a:pPr>
              <a:defRPr sz="700" b="1" i="0" u="none" strike="noStrike" kern="1200" baseline="0">
                <a:solidFill>
                  <a:srgbClr val="E50914"/>
                </a:solidFill>
                <a:latin typeface="Arial Black" panose="020B0A04020102020204" pitchFamily="34" charset="0"/>
                <a:ea typeface="+mn-ea"/>
                <a:cs typeface="+mn-cs"/>
              </a:defRPr>
            </a:pPr>
            <a:endParaRPr lang="en-US"/>
          </a:p>
        </c:txPr>
      </c:legendEntry>
      <c:legendEntry>
        <c:idx val="2"/>
        <c:txPr>
          <a:bodyPr rot="0" spcFirstLastPara="1" vertOverflow="ellipsis" vert="horz" wrap="square" anchor="ctr" anchorCtr="1"/>
          <a:lstStyle/>
          <a:p>
            <a:pPr>
              <a:defRPr sz="700" b="1" i="0" u="none" strike="noStrike" kern="1200" baseline="0">
                <a:solidFill>
                  <a:srgbClr val="FFCACA"/>
                </a:solidFill>
                <a:latin typeface="Arial Black" panose="020B0A04020102020204" pitchFamily="34" charset="0"/>
                <a:ea typeface="+mn-ea"/>
                <a:cs typeface="+mn-cs"/>
              </a:defRPr>
            </a:pPr>
            <a:endParaRPr lang="en-US"/>
          </a:p>
        </c:txPr>
      </c:legendEntry>
      <c:overlay val="0"/>
      <c:spPr>
        <a:noFill/>
        <a:ln>
          <a:noFill/>
        </a:ln>
        <a:effectLst/>
      </c:spPr>
      <c:txPr>
        <a:bodyPr rot="0" spcFirstLastPara="1" vertOverflow="ellipsis" vert="horz" wrap="square" anchor="ctr" anchorCtr="1"/>
        <a:lstStyle/>
        <a:p>
          <a:pPr>
            <a:defRPr sz="700" b="0" i="0" u="none" strike="noStrike" kern="1200" baseline="0">
              <a:solidFill>
                <a:srgbClr val="FFCACA"/>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Movies Analysis.xlsx]Back End!PivotTable5</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5462668816039986E-17"/>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0185067526415994E-16"/>
              <c:y val="-0.416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5462668816039986E-17"/>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0185067526415994E-16"/>
              <c:y val="-0.416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ACA"/>
                  </a:solidFill>
                  <a:latin typeface="Bebas Neue" panose="020B0606020202050201"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ACA"/>
          </a:solidFill>
          <a:ln>
            <a:noFill/>
          </a:ln>
          <a:effectLst/>
        </c:spPr>
        <c:dLbl>
          <c:idx val="0"/>
          <c:layout>
            <c:manualLayout>
              <c:x val="-2.5462668816039986E-17"/>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ACA"/>
                  </a:solidFill>
                  <a:latin typeface="Bebas Neue" panose="020B0606020202050201"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20710"/>
          </a:solidFill>
          <a:ln>
            <a:noFill/>
          </a:ln>
          <a:effectLst/>
        </c:spPr>
        <c:dLbl>
          <c:idx val="0"/>
          <c:layout>
            <c:manualLayout>
              <c:x val="0"/>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ACA"/>
                  </a:solidFill>
                  <a:latin typeface="Bebas Neue" panose="020B0606020202050201"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50914"/>
          </a:solidFill>
          <a:ln>
            <a:noFill/>
          </a:ln>
          <a:effectLst/>
        </c:spPr>
        <c:dLbl>
          <c:idx val="0"/>
          <c:layout>
            <c:manualLayout>
              <c:x val="5.08130081300813E-3"/>
              <c:y val="-0.366791027680143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ACA"/>
                  </a:solidFill>
                  <a:latin typeface="Bebas Neue" panose="020B0606020202050201"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'Back End'!$B$51</c:f>
              <c:strCache>
                <c:ptCount val="1"/>
                <c:pt idx="0">
                  <c:v>Total</c:v>
                </c:pt>
              </c:strCache>
            </c:strRef>
          </c:tx>
          <c:spPr>
            <a:solidFill>
              <a:schemeClr val="accent1"/>
            </a:solidFill>
            <a:ln>
              <a:noFill/>
            </a:ln>
            <a:effectLst/>
          </c:spPr>
          <c:invertIfNegative val="0"/>
          <c:dPt>
            <c:idx val="0"/>
            <c:invertIfNegative val="0"/>
            <c:bubble3D val="0"/>
            <c:spPr>
              <a:solidFill>
                <a:srgbClr val="FFCACA"/>
              </a:solidFill>
              <a:ln>
                <a:noFill/>
              </a:ln>
              <a:effectLst/>
            </c:spPr>
            <c:extLst>
              <c:ext xmlns:c16="http://schemas.microsoft.com/office/drawing/2014/chart" uri="{C3380CC4-5D6E-409C-BE32-E72D297353CC}">
                <c16:uniqueId val="{00000000-B663-437D-904C-75965F307CF5}"/>
              </c:ext>
            </c:extLst>
          </c:dPt>
          <c:dPt>
            <c:idx val="1"/>
            <c:invertIfNegative val="0"/>
            <c:bubble3D val="0"/>
            <c:spPr>
              <a:solidFill>
                <a:srgbClr val="B20710"/>
              </a:solidFill>
              <a:ln>
                <a:noFill/>
              </a:ln>
              <a:effectLst/>
            </c:spPr>
            <c:extLst>
              <c:ext xmlns:c16="http://schemas.microsoft.com/office/drawing/2014/chart" uri="{C3380CC4-5D6E-409C-BE32-E72D297353CC}">
                <c16:uniqueId val="{00000001-B663-437D-904C-75965F307CF5}"/>
              </c:ext>
            </c:extLst>
          </c:dPt>
          <c:dPt>
            <c:idx val="2"/>
            <c:invertIfNegative val="0"/>
            <c:bubble3D val="0"/>
            <c:spPr>
              <a:solidFill>
                <a:srgbClr val="E50914"/>
              </a:solidFill>
              <a:ln>
                <a:noFill/>
              </a:ln>
              <a:effectLst/>
            </c:spPr>
            <c:extLst>
              <c:ext xmlns:c16="http://schemas.microsoft.com/office/drawing/2014/chart" uri="{C3380CC4-5D6E-409C-BE32-E72D297353CC}">
                <c16:uniqueId val="{00000002-B663-437D-904C-75965F307CF5}"/>
              </c:ext>
            </c:extLst>
          </c:dPt>
          <c:dLbls>
            <c:dLbl>
              <c:idx val="0"/>
              <c:layout>
                <c:manualLayout>
                  <c:x val="-2.5462668816039986E-17"/>
                  <c:y val="-0.115740740740740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63-437D-904C-75965F307CF5}"/>
                </c:ext>
              </c:extLst>
            </c:dLbl>
            <c:dLbl>
              <c:idx val="1"/>
              <c:layout>
                <c:manualLayout>
                  <c:x val="0"/>
                  <c:y val="-0.2129629629629630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63-437D-904C-75965F307CF5}"/>
                </c:ext>
              </c:extLst>
            </c:dLbl>
            <c:dLbl>
              <c:idx val="2"/>
              <c:layout>
                <c:manualLayout>
                  <c:x val="5.08130081300813E-3"/>
                  <c:y val="-0.366791027680143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63-437D-904C-75965F307CF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ACA"/>
                    </a:solidFill>
                    <a:latin typeface="Bebas Neue" panose="020B0606020202050201"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 End'!$A$52:$A$55</c:f>
              <c:strCache>
                <c:ptCount val="3"/>
                <c:pt idx="0">
                  <c:v> PG </c:v>
                </c:pt>
                <c:pt idx="1">
                  <c:v> PG-13 </c:v>
                </c:pt>
                <c:pt idx="2">
                  <c:v> R </c:v>
                </c:pt>
              </c:strCache>
            </c:strRef>
          </c:cat>
          <c:val>
            <c:numRef>
              <c:f>'Back End'!$B$52:$B$55</c:f>
              <c:numCache>
                <c:formatCode>General</c:formatCode>
                <c:ptCount val="3"/>
                <c:pt idx="0">
                  <c:v>5</c:v>
                </c:pt>
                <c:pt idx="1">
                  <c:v>14</c:v>
                </c:pt>
                <c:pt idx="2">
                  <c:v>31</c:v>
                </c:pt>
              </c:numCache>
            </c:numRef>
          </c:val>
          <c:extLst>
            <c:ext xmlns:c16="http://schemas.microsoft.com/office/drawing/2014/chart" uri="{C3380CC4-5D6E-409C-BE32-E72D297353CC}">
              <c16:uniqueId val="{00000003-B663-437D-904C-75965F307CF5}"/>
            </c:ext>
          </c:extLst>
        </c:ser>
        <c:dLbls>
          <c:dLblPos val="ctr"/>
          <c:showLegendKey val="0"/>
          <c:showVal val="1"/>
          <c:showCatName val="0"/>
          <c:showSerName val="0"/>
          <c:showPercent val="0"/>
          <c:showBubbleSize val="0"/>
        </c:dLbls>
        <c:gapWidth val="150"/>
        <c:overlap val="100"/>
        <c:axId val="503475840"/>
        <c:axId val="503459520"/>
      </c:barChart>
      <c:catAx>
        <c:axId val="503475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CACA"/>
                </a:solidFill>
                <a:latin typeface="Bebas Neue" panose="020B0606020202050201" pitchFamily="34" charset="0"/>
                <a:ea typeface="+mn-ea"/>
                <a:cs typeface="+mn-cs"/>
              </a:defRPr>
            </a:pPr>
            <a:endParaRPr lang="en-US"/>
          </a:p>
        </c:txPr>
        <c:crossAx val="503459520"/>
        <c:crosses val="autoZero"/>
        <c:auto val="1"/>
        <c:lblAlgn val="ctr"/>
        <c:lblOffset val="100"/>
        <c:noMultiLvlLbl val="0"/>
      </c:catAx>
      <c:valAx>
        <c:axId val="503459520"/>
        <c:scaling>
          <c:orientation val="minMax"/>
        </c:scaling>
        <c:delete val="1"/>
        <c:axPos val="l"/>
        <c:numFmt formatCode="General" sourceLinked="1"/>
        <c:majorTickMark val="out"/>
        <c:minorTickMark val="none"/>
        <c:tickLblPos val="nextTo"/>
        <c:crossAx val="50347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Movies Analysis.xlsx]Back End!PivotTable3</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5091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'Back End'!$B$11</c:f>
              <c:strCache>
                <c:ptCount val="1"/>
                <c:pt idx="0">
                  <c:v>Total</c:v>
                </c:pt>
              </c:strCache>
            </c:strRef>
          </c:tx>
          <c:spPr>
            <a:ln w="28575" cap="rnd">
              <a:solidFill>
                <a:srgbClr val="E50914"/>
              </a:solidFill>
              <a:round/>
            </a:ln>
            <a:effectLst/>
          </c:spPr>
          <c:marker>
            <c:symbol val="none"/>
          </c:marker>
          <c:cat>
            <c:strRef>
              <c:f>'Back End'!$A$12:$A$30</c:f>
              <c:strCache>
                <c:ptCount val="18"/>
                <c:pt idx="0">
                  <c:v>1960</c:v>
                </c:pt>
                <c:pt idx="1">
                  <c:v>1972</c:v>
                </c:pt>
                <c:pt idx="2">
                  <c:v>1991</c:v>
                </c:pt>
                <c:pt idx="3">
                  <c:v>1993</c:v>
                </c:pt>
                <c:pt idx="4">
                  <c:v>1994</c:v>
                </c:pt>
                <c:pt idx="5">
                  <c:v>1999</c:v>
                </c:pt>
                <c:pt idx="6">
                  <c:v>2000</c:v>
                </c:pt>
                <c:pt idx="7">
                  <c:v>2006</c:v>
                </c:pt>
                <c:pt idx="8">
                  <c:v>2007</c:v>
                </c:pt>
                <c:pt idx="9">
                  <c:v>2008</c:v>
                </c:pt>
                <c:pt idx="10">
                  <c:v>2012</c:v>
                </c:pt>
                <c:pt idx="11">
                  <c:v>2013</c:v>
                </c:pt>
                <c:pt idx="12">
                  <c:v>2014</c:v>
                </c:pt>
                <c:pt idx="13">
                  <c:v>2015</c:v>
                </c:pt>
                <c:pt idx="14">
                  <c:v>2016</c:v>
                </c:pt>
                <c:pt idx="15">
                  <c:v>2017</c:v>
                </c:pt>
                <c:pt idx="16">
                  <c:v>2018</c:v>
                </c:pt>
                <c:pt idx="17">
                  <c:v>2019</c:v>
                </c:pt>
              </c:strCache>
            </c:strRef>
          </c:cat>
          <c:val>
            <c:numRef>
              <c:f>'Back End'!$B$12:$B$30</c:f>
              <c:numCache>
                <c:formatCode>General</c:formatCode>
                <c:ptCount val="18"/>
                <c:pt idx="0">
                  <c:v>1</c:v>
                </c:pt>
                <c:pt idx="1">
                  <c:v>1</c:v>
                </c:pt>
                <c:pt idx="2">
                  <c:v>2</c:v>
                </c:pt>
                <c:pt idx="3">
                  <c:v>1</c:v>
                </c:pt>
                <c:pt idx="4">
                  <c:v>2</c:v>
                </c:pt>
                <c:pt idx="5">
                  <c:v>3</c:v>
                </c:pt>
                <c:pt idx="6">
                  <c:v>1</c:v>
                </c:pt>
                <c:pt idx="7">
                  <c:v>1</c:v>
                </c:pt>
                <c:pt idx="8">
                  <c:v>1</c:v>
                </c:pt>
                <c:pt idx="9">
                  <c:v>1</c:v>
                </c:pt>
                <c:pt idx="10">
                  <c:v>1</c:v>
                </c:pt>
                <c:pt idx="11">
                  <c:v>1</c:v>
                </c:pt>
                <c:pt idx="12">
                  <c:v>4</c:v>
                </c:pt>
                <c:pt idx="13">
                  <c:v>2</c:v>
                </c:pt>
                <c:pt idx="14">
                  <c:v>1</c:v>
                </c:pt>
                <c:pt idx="15">
                  <c:v>3</c:v>
                </c:pt>
                <c:pt idx="16">
                  <c:v>1</c:v>
                </c:pt>
                <c:pt idx="17">
                  <c:v>4</c:v>
                </c:pt>
              </c:numCache>
            </c:numRef>
          </c:val>
          <c:smooth val="0"/>
          <c:extLst>
            <c:ext xmlns:c16="http://schemas.microsoft.com/office/drawing/2014/chart" uri="{C3380CC4-5D6E-409C-BE32-E72D297353CC}">
              <c16:uniqueId val="{00000000-28A9-422D-ADC5-3B1FC1997697}"/>
            </c:ext>
          </c:extLst>
        </c:ser>
        <c:dLbls>
          <c:showLegendKey val="0"/>
          <c:showVal val="0"/>
          <c:showCatName val="0"/>
          <c:showSerName val="0"/>
          <c:showPercent val="0"/>
          <c:showBubbleSize val="0"/>
        </c:dLbls>
        <c:smooth val="0"/>
        <c:axId val="507599504"/>
        <c:axId val="507599984"/>
      </c:lineChart>
      <c:catAx>
        <c:axId val="507599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CACA"/>
                </a:solidFill>
                <a:latin typeface="+mn-lt"/>
                <a:ea typeface="+mn-ea"/>
                <a:cs typeface="+mn-cs"/>
              </a:defRPr>
            </a:pPr>
            <a:endParaRPr lang="en-US"/>
          </a:p>
        </c:txPr>
        <c:crossAx val="507599984"/>
        <c:crosses val="autoZero"/>
        <c:auto val="1"/>
        <c:lblAlgn val="ctr"/>
        <c:lblOffset val="100"/>
        <c:noMultiLvlLbl val="0"/>
      </c:catAx>
      <c:valAx>
        <c:axId val="5075999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CACA"/>
                </a:solidFill>
                <a:latin typeface="+mn-lt"/>
                <a:ea typeface="+mn-ea"/>
                <a:cs typeface="+mn-cs"/>
              </a:defRPr>
            </a:pPr>
            <a:endParaRPr lang="en-US"/>
          </a:p>
        </c:txPr>
        <c:crossAx val="507599504"/>
        <c:crosses val="autoZero"/>
        <c:crossBetween val="between"/>
      </c:valAx>
      <c:spPr>
        <a:solidFill>
          <a:schemeClr val="bg2">
            <a:lumMod val="2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Movies Analysis.xlsx]Back End!PivotTable6</c:name>
    <c:fmtId val="47"/>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A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A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D7030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 End'!$B$63</c:f>
              <c:strCache>
                <c:ptCount val="1"/>
                <c:pt idx="0">
                  <c:v>Count of Name</c:v>
                </c:pt>
              </c:strCache>
            </c:strRef>
          </c:tx>
          <c:spPr>
            <a:solidFill>
              <a:srgbClr val="FFCA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A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 End'!$A$64:$A$70</c:f>
              <c:strCache>
                <c:ptCount val="6"/>
                <c:pt idx="0">
                  <c:v> Action/Drama </c:v>
                </c:pt>
                <c:pt idx="1">
                  <c:v> Action/Sci-Fi </c:v>
                </c:pt>
                <c:pt idx="2">
                  <c:v> Biography/Drama </c:v>
                </c:pt>
                <c:pt idx="3">
                  <c:v> Crime/Drama </c:v>
                </c:pt>
                <c:pt idx="4">
                  <c:v> Drama/Music </c:v>
                </c:pt>
                <c:pt idx="5">
                  <c:v> Horror/Thriller </c:v>
                </c:pt>
              </c:strCache>
            </c:strRef>
          </c:cat>
          <c:val>
            <c:numRef>
              <c:f>'Back End'!$B$64:$B$70</c:f>
              <c:numCache>
                <c:formatCode>General</c:formatCode>
                <c:ptCount val="6"/>
                <c:pt idx="0">
                  <c:v>1</c:v>
                </c:pt>
                <c:pt idx="1">
                  <c:v>2</c:v>
                </c:pt>
                <c:pt idx="2">
                  <c:v>1</c:v>
                </c:pt>
                <c:pt idx="3">
                  <c:v>9</c:v>
                </c:pt>
                <c:pt idx="4">
                  <c:v>1</c:v>
                </c:pt>
                <c:pt idx="5">
                  <c:v>1</c:v>
                </c:pt>
              </c:numCache>
            </c:numRef>
          </c:val>
          <c:extLst>
            <c:ext xmlns:c16="http://schemas.microsoft.com/office/drawing/2014/chart" uri="{C3380CC4-5D6E-409C-BE32-E72D297353CC}">
              <c16:uniqueId val="{00000000-0200-4152-A09E-9353637EA2A1}"/>
            </c:ext>
          </c:extLst>
        </c:ser>
        <c:dLbls>
          <c:showLegendKey val="0"/>
          <c:showVal val="0"/>
          <c:showCatName val="0"/>
          <c:showSerName val="0"/>
          <c:showPercent val="0"/>
          <c:showBubbleSize val="0"/>
        </c:dLbls>
        <c:gapWidth val="150"/>
        <c:axId val="1087489136"/>
        <c:axId val="1087491536"/>
      </c:barChart>
      <c:lineChart>
        <c:grouping val="standard"/>
        <c:varyColors val="0"/>
        <c:ser>
          <c:idx val="1"/>
          <c:order val="1"/>
          <c:tx>
            <c:strRef>
              <c:f>'Back End'!$C$63</c:f>
              <c:strCache>
                <c:ptCount val="1"/>
                <c:pt idx="0">
                  <c:v>Average of IMDb Rating</c:v>
                </c:pt>
              </c:strCache>
            </c:strRef>
          </c:tx>
          <c:spPr>
            <a:ln w="28575" cap="rnd">
              <a:solidFill>
                <a:srgbClr val="D70303"/>
              </a:solidFill>
              <a:round/>
            </a:ln>
            <a:effectLst/>
          </c:spPr>
          <c:marker>
            <c:symbol val="none"/>
          </c:marker>
          <c:cat>
            <c:strRef>
              <c:f>'Back End'!$A$64:$A$70</c:f>
              <c:strCache>
                <c:ptCount val="6"/>
                <c:pt idx="0">
                  <c:v> Action/Drama </c:v>
                </c:pt>
                <c:pt idx="1">
                  <c:v> Action/Sci-Fi </c:v>
                </c:pt>
                <c:pt idx="2">
                  <c:v> Biography/Drama </c:v>
                </c:pt>
                <c:pt idx="3">
                  <c:v> Crime/Drama </c:v>
                </c:pt>
                <c:pt idx="4">
                  <c:v> Drama/Music </c:v>
                </c:pt>
                <c:pt idx="5">
                  <c:v> Horror/Thriller </c:v>
                </c:pt>
              </c:strCache>
            </c:strRef>
          </c:cat>
          <c:val>
            <c:numRef>
              <c:f>'Back End'!$C$64:$C$70</c:f>
              <c:numCache>
                <c:formatCode>0.00</c:formatCode>
                <c:ptCount val="6"/>
                <c:pt idx="0">
                  <c:v>8.5</c:v>
                </c:pt>
                <c:pt idx="1">
                  <c:v>8.6</c:v>
                </c:pt>
                <c:pt idx="2">
                  <c:v>8.9</c:v>
                </c:pt>
                <c:pt idx="3">
                  <c:v>8.5111111111111111</c:v>
                </c:pt>
                <c:pt idx="4">
                  <c:v>8.5</c:v>
                </c:pt>
                <c:pt idx="5">
                  <c:v>8.5</c:v>
                </c:pt>
              </c:numCache>
            </c:numRef>
          </c:val>
          <c:smooth val="0"/>
          <c:extLst>
            <c:ext xmlns:c16="http://schemas.microsoft.com/office/drawing/2014/chart" uri="{C3380CC4-5D6E-409C-BE32-E72D297353CC}">
              <c16:uniqueId val="{00000001-0200-4152-A09E-9353637EA2A1}"/>
            </c:ext>
          </c:extLst>
        </c:ser>
        <c:dLbls>
          <c:showLegendKey val="0"/>
          <c:showVal val="0"/>
          <c:showCatName val="0"/>
          <c:showSerName val="0"/>
          <c:showPercent val="0"/>
          <c:showBubbleSize val="0"/>
        </c:dLbls>
        <c:marker val="1"/>
        <c:smooth val="0"/>
        <c:axId val="1087494896"/>
        <c:axId val="1087495376"/>
      </c:lineChart>
      <c:catAx>
        <c:axId val="1087489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CACA"/>
                </a:solidFill>
                <a:latin typeface="+mn-lt"/>
                <a:ea typeface="+mn-ea"/>
                <a:cs typeface="+mn-cs"/>
              </a:defRPr>
            </a:pPr>
            <a:endParaRPr lang="en-US"/>
          </a:p>
        </c:txPr>
        <c:crossAx val="1087491536"/>
        <c:crosses val="autoZero"/>
        <c:auto val="1"/>
        <c:lblAlgn val="ctr"/>
        <c:lblOffset val="100"/>
        <c:noMultiLvlLbl val="0"/>
      </c:catAx>
      <c:valAx>
        <c:axId val="1087491536"/>
        <c:scaling>
          <c:orientation val="minMax"/>
        </c:scaling>
        <c:delete val="0"/>
        <c:axPos val="l"/>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489136"/>
        <c:crosses val="autoZero"/>
        <c:crossBetween val="between"/>
      </c:valAx>
      <c:valAx>
        <c:axId val="1087495376"/>
        <c:scaling>
          <c:orientation val="minMax"/>
        </c:scaling>
        <c:delete val="0"/>
        <c:axPos val="r"/>
        <c:numFmt formatCode="0.00" sourceLinked="1"/>
        <c:majorTickMark val="none"/>
        <c:minorTickMark val="none"/>
        <c:tickLblPos val="low"/>
        <c:spPr>
          <a:noFill/>
          <a:ln>
            <a:solidFill>
              <a:schemeClr val="dk1"/>
            </a:solidFill>
          </a:ln>
          <a:effectLst/>
        </c:spPr>
        <c:txPr>
          <a:bodyPr rot="-60000000" spcFirstLastPara="1" vertOverflow="ellipsis" vert="horz" wrap="square" anchor="ctr" anchorCtr="1"/>
          <a:lstStyle/>
          <a:p>
            <a:pPr>
              <a:defRPr sz="900" b="0" i="0" u="none" strike="noStrike" kern="1200" baseline="0">
                <a:solidFill>
                  <a:srgbClr val="FFCACA"/>
                </a:solidFill>
                <a:latin typeface="+mn-lt"/>
                <a:ea typeface="+mn-ea"/>
                <a:cs typeface="+mn-cs"/>
              </a:defRPr>
            </a:pPr>
            <a:endParaRPr lang="en-US"/>
          </a:p>
        </c:txPr>
        <c:crossAx val="1087494896"/>
        <c:crosses val="max"/>
        <c:crossBetween val="between"/>
      </c:valAx>
      <c:catAx>
        <c:axId val="1087494896"/>
        <c:scaling>
          <c:orientation val="minMax"/>
        </c:scaling>
        <c:delete val="1"/>
        <c:axPos val="t"/>
        <c:numFmt formatCode="General" sourceLinked="1"/>
        <c:majorTickMark val="out"/>
        <c:minorTickMark val="none"/>
        <c:tickLblPos val="nextTo"/>
        <c:crossAx val="1087495376"/>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Movies Analysis.xlsx]Back End!PivotTable1</c:name>
    <c:fmtId val="6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50914"/>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FFCACA"/>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50914"/>
          </a:solidFill>
          <a:ln>
            <a:noFill/>
          </a:ln>
          <a:effectLst/>
        </c:spPr>
        <c:dLbl>
          <c:idx val="0"/>
          <c:layout>
            <c:manualLayout>
              <c:x val="0.29674417424341293"/>
              <c:y val="-1.7360910556390899E-17"/>
            </c:manualLayout>
          </c:layout>
          <c:spPr>
            <a:noFill/>
            <a:ln>
              <a:noFill/>
            </a:ln>
            <a:effectLst/>
          </c:spPr>
          <c:txPr>
            <a:bodyPr rot="0" spcFirstLastPara="1" vertOverflow="ellipsis" vert="horz" wrap="square" anchor="ctr" anchorCtr="1"/>
            <a:lstStyle/>
            <a:p>
              <a:pPr>
                <a:defRPr sz="900" b="1" i="0" u="none" strike="noStrike" kern="1200" baseline="0">
                  <a:solidFill>
                    <a:srgbClr val="FFCAC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50914"/>
          </a:solidFill>
          <a:ln>
            <a:noFill/>
          </a:ln>
          <a:effectLst/>
        </c:spPr>
        <c:dLbl>
          <c:idx val="0"/>
          <c:layout>
            <c:manualLayout>
              <c:x val="0.26568966517306886"/>
              <c:y val="-3.4721821112781798E-17"/>
            </c:manualLayout>
          </c:layout>
          <c:spPr>
            <a:noFill/>
            <a:ln>
              <a:noFill/>
            </a:ln>
            <a:effectLst/>
          </c:spPr>
          <c:txPr>
            <a:bodyPr rot="0" spcFirstLastPara="1" vertOverflow="ellipsis" vert="horz" wrap="square" anchor="ctr" anchorCtr="1"/>
            <a:lstStyle/>
            <a:p>
              <a:pPr>
                <a:defRPr sz="900" b="1" i="0" u="none" strike="noStrike" kern="1200" baseline="0">
                  <a:solidFill>
                    <a:srgbClr val="FFCAC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50914"/>
          </a:solidFill>
          <a:ln>
            <a:noFill/>
          </a:ln>
          <a:effectLst/>
        </c:spPr>
        <c:dLbl>
          <c:idx val="0"/>
          <c:layout>
            <c:manualLayout>
              <c:x val="0.17357346906222348"/>
              <c:y val="0"/>
            </c:manualLayout>
          </c:layout>
          <c:spPr>
            <a:noFill/>
            <a:ln>
              <a:noFill/>
            </a:ln>
            <a:effectLst/>
          </c:spPr>
          <c:txPr>
            <a:bodyPr rot="0" spcFirstLastPara="1" vertOverflow="ellipsis" vert="horz" wrap="square" anchor="ctr" anchorCtr="1"/>
            <a:lstStyle/>
            <a:p>
              <a:pPr>
                <a:defRPr sz="900" b="1" i="0" u="none" strike="noStrike" kern="1200" baseline="0">
                  <a:solidFill>
                    <a:srgbClr val="FFCAC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50914"/>
          </a:solidFill>
          <a:ln>
            <a:noFill/>
          </a:ln>
          <a:effectLst/>
        </c:spPr>
        <c:dLbl>
          <c:idx val="0"/>
          <c:layout>
            <c:manualLayout>
              <c:x val="0.15410993170052639"/>
              <c:y val="6.9443642225563597E-17"/>
            </c:manualLayout>
          </c:layout>
          <c:spPr>
            <a:noFill/>
            <a:ln>
              <a:noFill/>
            </a:ln>
            <a:effectLst/>
          </c:spPr>
          <c:txPr>
            <a:bodyPr rot="0" spcFirstLastPara="1" vertOverflow="ellipsis" vert="horz" wrap="square" anchor="ctr" anchorCtr="1"/>
            <a:lstStyle/>
            <a:p>
              <a:pPr>
                <a:defRPr sz="900" b="1" i="0" u="none" strike="noStrike" kern="1200" baseline="0">
                  <a:solidFill>
                    <a:srgbClr val="FFCAC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50914"/>
          </a:solidFill>
          <a:ln>
            <a:noFill/>
          </a:ln>
          <a:effectLst/>
        </c:spPr>
        <c:dLbl>
          <c:idx val="0"/>
          <c:layout>
            <c:manualLayout>
              <c:x val="0.15871398326590391"/>
              <c:y val="0"/>
            </c:manualLayout>
          </c:layout>
          <c:spPr>
            <a:noFill/>
            <a:ln>
              <a:noFill/>
            </a:ln>
            <a:effectLst/>
          </c:spPr>
          <c:txPr>
            <a:bodyPr rot="0" spcFirstLastPara="1" vertOverflow="ellipsis" vert="horz" wrap="square" anchor="ctr" anchorCtr="1"/>
            <a:lstStyle/>
            <a:p>
              <a:pPr>
                <a:defRPr sz="900" b="1" i="0" u="none" strike="noStrike" kern="1200" baseline="0">
                  <a:solidFill>
                    <a:srgbClr val="FFCACA"/>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'Back End'!$B$81</c:f>
              <c:strCache>
                <c:ptCount val="1"/>
                <c:pt idx="0">
                  <c:v>Total</c:v>
                </c:pt>
              </c:strCache>
            </c:strRef>
          </c:tx>
          <c:spPr>
            <a:solidFill>
              <a:srgbClr val="E50914"/>
            </a:solidFill>
            <a:ln>
              <a:noFill/>
            </a:ln>
            <a:effectLst/>
          </c:spPr>
          <c:invertIfNegative val="0"/>
          <c:dPt>
            <c:idx val="0"/>
            <c:invertIfNegative val="0"/>
            <c:bubble3D val="0"/>
            <c:extLst>
              <c:ext xmlns:c16="http://schemas.microsoft.com/office/drawing/2014/chart" uri="{C3380CC4-5D6E-409C-BE32-E72D297353CC}">
                <c16:uniqueId val="{00000005-ADDC-46C4-B2CF-C7790124F334}"/>
              </c:ext>
            </c:extLst>
          </c:dPt>
          <c:dPt>
            <c:idx val="1"/>
            <c:invertIfNegative val="0"/>
            <c:bubble3D val="0"/>
            <c:spPr>
              <a:solidFill>
                <a:srgbClr val="E50914"/>
              </a:solidFill>
              <a:ln>
                <a:noFill/>
              </a:ln>
              <a:effectLst/>
            </c:spPr>
            <c:extLst>
              <c:ext xmlns:c16="http://schemas.microsoft.com/office/drawing/2014/chart" uri="{C3380CC4-5D6E-409C-BE32-E72D297353CC}">
                <c16:uniqueId val="{00000004-ADDC-46C4-B2CF-C7790124F334}"/>
              </c:ext>
            </c:extLst>
          </c:dPt>
          <c:dPt>
            <c:idx val="2"/>
            <c:invertIfNegative val="0"/>
            <c:bubble3D val="0"/>
            <c:spPr>
              <a:solidFill>
                <a:srgbClr val="E50914"/>
              </a:solidFill>
              <a:ln>
                <a:noFill/>
              </a:ln>
              <a:effectLst/>
            </c:spPr>
            <c:extLst>
              <c:ext xmlns:c16="http://schemas.microsoft.com/office/drawing/2014/chart" uri="{C3380CC4-5D6E-409C-BE32-E72D297353CC}">
                <c16:uniqueId val="{00000003-ADDC-46C4-B2CF-C7790124F334}"/>
              </c:ext>
            </c:extLst>
          </c:dPt>
          <c:dPt>
            <c:idx val="3"/>
            <c:invertIfNegative val="0"/>
            <c:bubble3D val="0"/>
            <c:spPr>
              <a:solidFill>
                <a:srgbClr val="E50914"/>
              </a:solidFill>
              <a:ln>
                <a:noFill/>
              </a:ln>
              <a:effectLst/>
            </c:spPr>
            <c:extLst>
              <c:ext xmlns:c16="http://schemas.microsoft.com/office/drawing/2014/chart" uri="{C3380CC4-5D6E-409C-BE32-E72D297353CC}">
                <c16:uniqueId val="{00000002-ADDC-46C4-B2CF-C7790124F334}"/>
              </c:ext>
            </c:extLst>
          </c:dPt>
          <c:dPt>
            <c:idx val="4"/>
            <c:invertIfNegative val="0"/>
            <c:bubble3D val="0"/>
            <c:spPr>
              <a:solidFill>
                <a:srgbClr val="E50914"/>
              </a:solidFill>
              <a:ln>
                <a:noFill/>
              </a:ln>
              <a:effectLst/>
            </c:spPr>
            <c:extLst>
              <c:ext xmlns:c16="http://schemas.microsoft.com/office/drawing/2014/chart" uri="{C3380CC4-5D6E-409C-BE32-E72D297353CC}">
                <c16:uniqueId val="{00000001-ADDC-46C4-B2CF-C7790124F334}"/>
              </c:ext>
            </c:extLst>
          </c:dPt>
          <c:dLbls>
            <c:dLbl>
              <c:idx val="1"/>
              <c:layout>
                <c:manualLayout>
                  <c:x val="0.15410993170052639"/>
                  <c:y val="6.944364222556359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DDC-46C4-B2CF-C7790124F334}"/>
                </c:ext>
              </c:extLst>
            </c:dLbl>
            <c:dLbl>
              <c:idx val="2"/>
              <c:layout>
                <c:manualLayout>
                  <c:x val="0.1587139832659039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DDC-46C4-B2CF-C7790124F334}"/>
                </c:ext>
              </c:extLst>
            </c:dLbl>
            <c:dLbl>
              <c:idx val="3"/>
              <c:layout>
                <c:manualLayout>
                  <c:x val="0.26568966517306886"/>
                  <c:y val="-3.4721821112781798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DDC-46C4-B2CF-C7790124F334}"/>
                </c:ext>
              </c:extLst>
            </c:dLbl>
            <c:dLbl>
              <c:idx val="4"/>
              <c:layout>
                <c:manualLayout>
                  <c:x val="0.29674417424341293"/>
                  <c:y val="-1.7360910556390899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DDC-46C4-B2CF-C7790124F334}"/>
                </c:ext>
              </c:extLst>
            </c:dLbl>
            <c:spPr>
              <a:noFill/>
              <a:ln>
                <a:noFill/>
              </a:ln>
              <a:effectLst/>
            </c:spPr>
            <c:txPr>
              <a:bodyPr rot="0" spcFirstLastPara="1" vertOverflow="ellipsis" vert="horz" wrap="square" anchor="ctr" anchorCtr="1"/>
              <a:lstStyle/>
              <a:p>
                <a:pPr>
                  <a:defRPr sz="900" b="1" i="0" u="none" strike="noStrike" kern="1200" baseline="0">
                    <a:solidFill>
                      <a:srgbClr val="FFCACA"/>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 End'!$A$82:$A$87</c:f>
              <c:strCache>
                <c:ptCount val="5"/>
                <c:pt idx="0">
                  <c:v>Fight Club </c:v>
                </c:pt>
                <c:pt idx="1">
                  <c:v>Schindler's List </c:v>
                </c:pt>
                <c:pt idx="2">
                  <c:v>Pulp Fiction </c:v>
                </c:pt>
                <c:pt idx="3">
                  <c:v>The Godfather </c:v>
                </c:pt>
                <c:pt idx="4">
                  <c:v>The Shawshank Redemption </c:v>
                </c:pt>
              </c:strCache>
            </c:strRef>
          </c:cat>
          <c:val>
            <c:numRef>
              <c:f>'Back End'!$B$82:$B$87</c:f>
              <c:numCache>
                <c:formatCode>General</c:formatCode>
                <c:ptCount val="5"/>
                <c:pt idx="0">
                  <c:v>8.8000000000000007</c:v>
                </c:pt>
                <c:pt idx="1">
                  <c:v>8.9</c:v>
                </c:pt>
                <c:pt idx="2">
                  <c:v>8.9</c:v>
                </c:pt>
                <c:pt idx="3">
                  <c:v>9.1999999999999993</c:v>
                </c:pt>
                <c:pt idx="4">
                  <c:v>9.3000000000000007</c:v>
                </c:pt>
              </c:numCache>
            </c:numRef>
          </c:val>
          <c:extLst>
            <c:ext xmlns:c16="http://schemas.microsoft.com/office/drawing/2014/chart" uri="{C3380CC4-5D6E-409C-BE32-E72D297353CC}">
              <c16:uniqueId val="{00000000-ADDC-46C4-B2CF-C7790124F334}"/>
            </c:ext>
          </c:extLst>
        </c:ser>
        <c:dLbls>
          <c:dLblPos val="inEnd"/>
          <c:showLegendKey val="0"/>
          <c:showVal val="1"/>
          <c:showCatName val="0"/>
          <c:showSerName val="0"/>
          <c:showPercent val="0"/>
          <c:showBubbleSize val="0"/>
        </c:dLbls>
        <c:gapWidth val="150"/>
        <c:overlap val="100"/>
        <c:axId val="676173279"/>
        <c:axId val="676156959"/>
      </c:barChart>
      <c:catAx>
        <c:axId val="6761732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CACA"/>
                </a:solidFill>
                <a:latin typeface="+mn-lt"/>
                <a:ea typeface="+mn-ea"/>
                <a:cs typeface="+mn-cs"/>
              </a:defRPr>
            </a:pPr>
            <a:endParaRPr lang="en-US"/>
          </a:p>
        </c:txPr>
        <c:crossAx val="676156959"/>
        <c:crosses val="autoZero"/>
        <c:auto val="1"/>
        <c:lblAlgn val="ctr"/>
        <c:lblOffset val="100"/>
        <c:noMultiLvlLbl val="0"/>
      </c:catAx>
      <c:valAx>
        <c:axId val="67615695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CACA"/>
                </a:solidFill>
                <a:latin typeface="+mn-lt"/>
                <a:ea typeface="+mn-ea"/>
                <a:cs typeface="+mn-cs"/>
              </a:defRPr>
            </a:pPr>
            <a:endParaRPr lang="en-US"/>
          </a:p>
        </c:txPr>
        <c:crossAx val="67617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5.png"/><Relationship Id="rId3" Type="http://schemas.openxmlformats.org/officeDocument/2006/relationships/chart" Target="../charts/chart6.xml"/><Relationship Id="rId7" Type="http://schemas.openxmlformats.org/officeDocument/2006/relationships/image" Target="../media/image2.png"/><Relationship Id="rId12" Type="http://schemas.openxmlformats.org/officeDocument/2006/relationships/hyperlink" Target="#'Netflix Movies Data'!A1"/><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image" Target="../media/image4.svg"/><Relationship Id="rId5" Type="http://schemas.openxmlformats.org/officeDocument/2006/relationships/chart" Target="../charts/chart8.xml"/><Relationship Id="rId10" Type="http://schemas.openxmlformats.org/officeDocument/2006/relationships/image" Target="../media/image3.png"/><Relationship Id="rId4" Type="http://schemas.openxmlformats.org/officeDocument/2006/relationships/chart" Target="../charts/chart7.xml"/><Relationship Id="rId9" Type="http://schemas.openxmlformats.org/officeDocument/2006/relationships/hyperlink" Target="#'Back End'!A1"/><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2</xdr:col>
      <xdr:colOff>114300</xdr:colOff>
      <xdr:row>9</xdr:row>
      <xdr:rowOff>19050</xdr:rowOff>
    </xdr:from>
    <xdr:to>
      <xdr:col>9</xdr:col>
      <xdr:colOff>419100</xdr:colOff>
      <xdr:row>24</xdr:row>
      <xdr:rowOff>11430</xdr:rowOff>
    </xdr:to>
    <xdr:graphicFrame macro="">
      <xdr:nvGraphicFramePr>
        <xdr:cNvPr id="2" name="Chart 1">
          <a:extLst>
            <a:ext uri="{FF2B5EF4-FFF2-40B4-BE49-F238E27FC236}">
              <a16:creationId xmlns:a16="http://schemas.microsoft.com/office/drawing/2014/main" id="{D440C2D9-B1F1-17D5-E811-D4B196C25B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xdr:colOff>
      <xdr:row>37</xdr:row>
      <xdr:rowOff>182880</xdr:rowOff>
    </xdr:from>
    <xdr:to>
      <xdr:col>4</xdr:col>
      <xdr:colOff>1043940</xdr:colOff>
      <xdr:row>46</xdr:row>
      <xdr:rowOff>34290</xdr:rowOff>
    </xdr:to>
    <xdr:graphicFrame macro="">
      <xdr:nvGraphicFramePr>
        <xdr:cNvPr id="3" name="Chart 2">
          <a:extLst>
            <a:ext uri="{FF2B5EF4-FFF2-40B4-BE49-F238E27FC236}">
              <a16:creationId xmlns:a16="http://schemas.microsoft.com/office/drawing/2014/main" id="{44E06BB2-C401-6416-1B4D-5BB40CB32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76200</xdr:colOff>
      <xdr:row>49</xdr:row>
      <xdr:rowOff>3810</xdr:rowOff>
    </xdr:from>
    <xdr:to>
      <xdr:col>6</xdr:col>
      <xdr:colOff>30480</xdr:colOff>
      <xdr:row>58</xdr:row>
      <xdr:rowOff>99060</xdr:rowOff>
    </xdr:to>
    <xdr:graphicFrame macro="">
      <xdr:nvGraphicFramePr>
        <xdr:cNvPr id="4" name="Chart 3">
          <a:extLst>
            <a:ext uri="{FF2B5EF4-FFF2-40B4-BE49-F238E27FC236}">
              <a16:creationId xmlns:a16="http://schemas.microsoft.com/office/drawing/2014/main" id="{2DA76652-C783-1063-4EE7-01D582CAB5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xdr:colOff>
      <xdr:row>60</xdr:row>
      <xdr:rowOff>186690</xdr:rowOff>
    </xdr:from>
    <xdr:to>
      <xdr:col>11</xdr:col>
      <xdr:colOff>281940</xdr:colOff>
      <xdr:row>75</xdr:row>
      <xdr:rowOff>171450</xdr:rowOff>
    </xdr:to>
    <xdr:graphicFrame macro="">
      <xdr:nvGraphicFramePr>
        <xdr:cNvPr id="5" name="Chart 4">
          <a:extLst>
            <a:ext uri="{FF2B5EF4-FFF2-40B4-BE49-F238E27FC236}">
              <a16:creationId xmlns:a16="http://schemas.microsoft.com/office/drawing/2014/main" id="{28BF678E-512E-FFCC-BA53-618E31041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53340</xdr:colOff>
      <xdr:row>79</xdr:row>
      <xdr:rowOff>0</xdr:rowOff>
    </xdr:from>
    <xdr:to>
      <xdr:col>9</xdr:col>
      <xdr:colOff>411480</xdr:colOff>
      <xdr:row>93</xdr:row>
      <xdr:rowOff>175260</xdr:rowOff>
    </xdr:to>
    <xdr:graphicFrame macro="">
      <xdr:nvGraphicFramePr>
        <xdr:cNvPr id="6" name="Chart 5">
          <a:extLst>
            <a:ext uri="{FF2B5EF4-FFF2-40B4-BE49-F238E27FC236}">
              <a16:creationId xmlns:a16="http://schemas.microsoft.com/office/drawing/2014/main" id="{DE712F77-4EF5-63FC-08DA-2CFD7A126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57689</xdr:colOff>
      <xdr:row>0</xdr:row>
      <xdr:rowOff>68939</xdr:rowOff>
    </xdr:from>
    <xdr:to>
      <xdr:col>23</xdr:col>
      <xdr:colOff>11969</xdr:colOff>
      <xdr:row>26</xdr:row>
      <xdr:rowOff>145139</xdr:rowOff>
    </xdr:to>
    <xdr:grpSp>
      <xdr:nvGrpSpPr>
        <xdr:cNvPr id="3" name="Group 2">
          <a:extLst>
            <a:ext uri="{FF2B5EF4-FFF2-40B4-BE49-F238E27FC236}">
              <a16:creationId xmlns:a16="http://schemas.microsoft.com/office/drawing/2014/main" id="{A4E974A2-8028-3D82-405F-CA747CF0C781}"/>
            </a:ext>
          </a:extLst>
        </xdr:cNvPr>
        <xdr:cNvGrpSpPr/>
      </xdr:nvGrpSpPr>
      <xdr:grpSpPr>
        <a:xfrm>
          <a:off x="57689" y="68939"/>
          <a:ext cx="13975080" cy="4838700"/>
          <a:chOff x="57689" y="68939"/>
          <a:chExt cx="13975080" cy="4838700"/>
        </a:xfrm>
      </xdr:grpSpPr>
      <xdr:sp macro="" textlink="">
        <xdr:nvSpPr>
          <xdr:cNvPr id="2" name="Rectangle 1">
            <a:extLst>
              <a:ext uri="{FF2B5EF4-FFF2-40B4-BE49-F238E27FC236}">
                <a16:creationId xmlns:a16="http://schemas.microsoft.com/office/drawing/2014/main" id="{ABEAC451-938E-204B-13A6-0AA6A4C0A751}"/>
              </a:ext>
            </a:extLst>
          </xdr:cNvPr>
          <xdr:cNvSpPr/>
        </xdr:nvSpPr>
        <xdr:spPr>
          <a:xfrm>
            <a:off x="57689" y="68939"/>
            <a:ext cx="13975080" cy="4838700"/>
          </a:xfrm>
          <a:prstGeom prst="rect">
            <a:avLst/>
          </a:prstGeom>
          <a:solidFill>
            <a:schemeClr val="tx1">
              <a:lumMod val="85000"/>
              <a:lumOff val="15000"/>
            </a:schemeClr>
          </a:solidFill>
          <a:ln w="9525" cap="flat" cmpd="sng" algn="ctr">
            <a:solidFill>
              <a:schemeClr val="dk1"/>
            </a:solidFill>
            <a:prstDash val="solid"/>
            <a:round/>
            <a:headEnd type="none" w="med" len="med"/>
            <a:tailEnd type="none" w="med" len="med"/>
          </a:ln>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2F6F4D36-78FF-030C-6D65-F2E818741374}"/>
              </a:ext>
            </a:extLst>
          </xdr:cNvPr>
          <xdr:cNvSpPr/>
        </xdr:nvSpPr>
        <xdr:spPr>
          <a:xfrm>
            <a:off x="251460" y="281940"/>
            <a:ext cx="2529840" cy="3916680"/>
          </a:xfrm>
          <a:prstGeom prst="roundRect">
            <a:avLst>
              <a:gd name="adj" fmla="val 6728"/>
            </a:avLst>
          </a:prstGeom>
          <a:solidFill>
            <a:schemeClr val="bg2">
              <a:lumMod val="25000"/>
            </a:schemeClr>
          </a:solidFill>
          <a:ln>
            <a:noFill/>
          </a:ln>
          <a:effectLst>
            <a:innerShdw blurRad="63500" dist="50800" dir="108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4" name="Picture 3">
            <a:extLst>
              <a:ext uri="{FF2B5EF4-FFF2-40B4-BE49-F238E27FC236}">
                <a16:creationId xmlns:a16="http://schemas.microsoft.com/office/drawing/2014/main" id="{D70C567A-BD12-04C0-15CB-2C8170D465D3}"/>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30316" y1="48211" x2="30316" y2="48211"/>
                        <a14:foregroundMark x1="42737" y1="46316" x2="42737" y2="46316"/>
                        <a14:foregroundMark x1="51474" y1="48000" x2="51474" y2="48000"/>
                        <a14:foregroundMark x1="60895" y1="50421" x2="60895" y2="50421"/>
                        <a14:foregroundMark x1="70211" y1="52316" x2="70211" y2="52316"/>
                        <a14:foregroundMark x1="79526" y1="50632" x2="79526" y2="50632"/>
                      </a14:backgroundRemoval>
                    </a14:imgEffect>
                    <a14:imgEffect>
                      <a14:saturation sat="400000"/>
                    </a14:imgEffect>
                  </a14:imgLayer>
                </a14:imgProps>
              </a:ext>
              <a:ext uri="{28A0092B-C50C-407E-A947-70E740481C1C}">
                <a14:useLocalDpi xmlns:a14="http://schemas.microsoft.com/office/drawing/2010/main" val="0"/>
              </a:ext>
            </a:extLst>
          </a:blip>
          <a:srcRect t="12782" b="18045"/>
          <a:stretch>
            <a:fillRect/>
          </a:stretch>
        </xdr:blipFill>
        <xdr:spPr>
          <a:xfrm>
            <a:off x="491490" y="325712"/>
            <a:ext cx="1371600" cy="474388"/>
          </a:xfrm>
          <a:prstGeom prst="rect">
            <a:avLst/>
          </a:prstGeom>
          <a:effectLst>
            <a:outerShdw blurRad="50800" dist="38100" dir="10800000" algn="r" rotWithShape="0">
              <a:prstClr val="black">
                <a:alpha val="40000"/>
              </a:prstClr>
            </a:outerShdw>
          </a:effectLst>
        </xdr:spPr>
      </xdr:pic>
      <xdr:sp macro="" textlink="">
        <xdr:nvSpPr>
          <xdr:cNvPr id="6" name="Rectangle: Rounded Corners 5">
            <a:extLst>
              <a:ext uri="{FF2B5EF4-FFF2-40B4-BE49-F238E27FC236}">
                <a16:creationId xmlns:a16="http://schemas.microsoft.com/office/drawing/2014/main" id="{BBF55598-59A8-48C5-8604-198BD0429B36}"/>
              </a:ext>
            </a:extLst>
          </xdr:cNvPr>
          <xdr:cNvSpPr/>
        </xdr:nvSpPr>
        <xdr:spPr>
          <a:xfrm>
            <a:off x="2065020" y="76200"/>
            <a:ext cx="1363980" cy="4812360"/>
          </a:xfrm>
          <a:prstGeom prst="roundRect">
            <a:avLst>
              <a:gd name="adj" fmla="val 26177"/>
            </a:avLst>
          </a:prstGeom>
          <a:solidFill>
            <a:schemeClr val="tx1">
              <a:lumMod val="85000"/>
              <a:lumOff val="15000"/>
            </a:schemeClr>
          </a:solidFill>
          <a:ln>
            <a:noFill/>
          </a:ln>
          <a:effectLst>
            <a:outerShdw blurRad="50800" dist="38100" dir="10800000" algn="r" rotWithShape="0">
              <a:schemeClr val="tx1">
                <a:lumMod val="85000"/>
                <a:lumOff val="1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Segoe UI Semibold" panose="020B0702040204020203" pitchFamily="34" charset="0"/>
              <a:cs typeface="Segoe UI Semibold" panose="020B0702040204020203" pitchFamily="34" charset="0"/>
            </a:endParaRPr>
          </a:p>
        </xdr:txBody>
      </xdr:sp>
      <xdr:sp macro="" textlink="">
        <xdr:nvSpPr>
          <xdr:cNvPr id="8" name="Rectangle: Rounded Corners 7">
            <a:extLst>
              <a:ext uri="{FF2B5EF4-FFF2-40B4-BE49-F238E27FC236}">
                <a16:creationId xmlns:a16="http://schemas.microsoft.com/office/drawing/2014/main" id="{F8271FF6-4E72-9665-4148-E5BC607DE3DA}"/>
              </a:ext>
            </a:extLst>
          </xdr:cNvPr>
          <xdr:cNvSpPr/>
        </xdr:nvSpPr>
        <xdr:spPr>
          <a:xfrm>
            <a:off x="2194560" y="251460"/>
            <a:ext cx="1656000" cy="708660"/>
          </a:xfrm>
          <a:prstGeom prst="roundRect">
            <a:avLst/>
          </a:prstGeom>
          <a:solidFill>
            <a:schemeClr val="bg2">
              <a:lumMod val="2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Back End'!A7">
        <xdr:nvSpPr>
          <xdr:cNvPr id="7" name="TextBox 6">
            <a:extLst>
              <a:ext uri="{FF2B5EF4-FFF2-40B4-BE49-F238E27FC236}">
                <a16:creationId xmlns:a16="http://schemas.microsoft.com/office/drawing/2014/main" id="{353B2259-F73D-DA3E-E207-CAB827EBF150}"/>
              </a:ext>
            </a:extLst>
          </xdr:cNvPr>
          <xdr:cNvSpPr txBox="1"/>
        </xdr:nvSpPr>
        <xdr:spPr>
          <a:xfrm>
            <a:off x="3093720" y="278130"/>
            <a:ext cx="57150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E83B91-4A62-4085-A5C4-167161E72B97}" type="TxLink">
              <a:rPr lang="en-US" sz="3600" b="0" i="0" u="none" strike="noStrike">
                <a:solidFill>
                  <a:srgbClr val="D70303"/>
                </a:solidFill>
                <a:latin typeface="Bebas Neue" panose="020B0606020202050201" pitchFamily="34" charset="0"/>
                <a:ea typeface="Calibri"/>
                <a:cs typeface="Calibri"/>
              </a:rPr>
              <a:pPr/>
              <a:t>31</a:t>
            </a:fld>
            <a:endParaRPr lang="en-IN" sz="3600">
              <a:solidFill>
                <a:srgbClr val="D70303"/>
              </a:solidFill>
              <a:latin typeface="Bebas Neue" panose="020B0606020202050201" pitchFamily="34" charset="0"/>
            </a:endParaRPr>
          </a:p>
        </xdr:txBody>
      </xdr:sp>
      <xdr:sp macro="" textlink="">
        <xdr:nvSpPr>
          <xdr:cNvPr id="9" name="TextBox 8">
            <a:extLst>
              <a:ext uri="{FF2B5EF4-FFF2-40B4-BE49-F238E27FC236}">
                <a16:creationId xmlns:a16="http://schemas.microsoft.com/office/drawing/2014/main" id="{4B42D78B-379B-3D8F-830B-944BC6AA86A5}"/>
              </a:ext>
            </a:extLst>
          </xdr:cNvPr>
          <xdr:cNvSpPr txBox="1"/>
        </xdr:nvSpPr>
        <xdr:spPr>
          <a:xfrm>
            <a:off x="2209800" y="339090"/>
            <a:ext cx="92964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200" b="1">
                <a:solidFill>
                  <a:schemeClr val="bg1">
                    <a:lumMod val="85000"/>
                  </a:schemeClr>
                </a:solidFill>
                <a:latin typeface="Segoe UI Black" panose="020B0A02040204020203" pitchFamily="34" charset="0"/>
                <a:ea typeface="Segoe UI Black" panose="020B0A02040204020203" pitchFamily="34" charset="0"/>
                <a:cs typeface="Segoe UI Semibold" panose="020B0702040204020203" pitchFamily="34" charset="0"/>
              </a:rPr>
              <a:t>TOTAL MOVIES</a:t>
            </a:r>
          </a:p>
        </xdr:txBody>
      </xdr:sp>
      <xdr:sp macro="" textlink="">
        <xdr:nvSpPr>
          <xdr:cNvPr id="10" name="Rectangle: Rounded Corners 9">
            <a:extLst>
              <a:ext uri="{FF2B5EF4-FFF2-40B4-BE49-F238E27FC236}">
                <a16:creationId xmlns:a16="http://schemas.microsoft.com/office/drawing/2014/main" id="{BEE63E0B-CF8C-4475-99DB-A6B4DFA0722A}"/>
              </a:ext>
            </a:extLst>
          </xdr:cNvPr>
          <xdr:cNvSpPr/>
        </xdr:nvSpPr>
        <xdr:spPr>
          <a:xfrm>
            <a:off x="3962400" y="251460"/>
            <a:ext cx="1656000" cy="708660"/>
          </a:xfrm>
          <a:prstGeom prst="roundRect">
            <a:avLst/>
          </a:prstGeom>
          <a:solidFill>
            <a:schemeClr val="bg2">
              <a:lumMod val="2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TextBox 10">
            <a:extLst>
              <a:ext uri="{FF2B5EF4-FFF2-40B4-BE49-F238E27FC236}">
                <a16:creationId xmlns:a16="http://schemas.microsoft.com/office/drawing/2014/main" id="{6ECF2CE9-A12E-4288-94FF-51F39B1203F3}"/>
              </a:ext>
            </a:extLst>
          </xdr:cNvPr>
          <xdr:cNvSpPr txBox="1"/>
        </xdr:nvSpPr>
        <xdr:spPr>
          <a:xfrm>
            <a:off x="3970020" y="331470"/>
            <a:ext cx="1036320" cy="529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lumMod val="85000"/>
                  </a:schemeClr>
                </a:solidFill>
                <a:latin typeface="Segoe UI Black" panose="020B0A02040204020203" pitchFamily="34" charset="0"/>
                <a:ea typeface="Segoe UI Black" panose="020B0A02040204020203" pitchFamily="34" charset="0"/>
                <a:cs typeface="Segoe UI Semibold" panose="020B0702040204020203" pitchFamily="34" charset="0"/>
              </a:rPr>
              <a:t>AVG</a:t>
            </a:r>
            <a:r>
              <a:rPr lang="en-IN" sz="1200" b="1" baseline="0">
                <a:solidFill>
                  <a:schemeClr val="bg1">
                    <a:lumMod val="85000"/>
                  </a:schemeClr>
                </a:solidFill>
                <a:latin typeface="Segoe UI Black" panose="020B0A02040204020203" pitchFamily="34" charset="0"/>
                <a:ea typeface="Segoe UI Black" panose="020B0A02040204020203" pitchFamily="34" charset="0"/>
                <a:cs typeface="Segoe UI Semibold" panose="020B0702040204020203" pitchFamily="34" charset="0"/>
              </a:rPr>
              <a:t> IMDB RATING</a:t>
            </a:r>
            <a:endParaRPr lang="en-IN" sz="1200" b="1">
              <a:solidFill>
                <a:schemeClr val="bg1">
                  <a:lumMod val="8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sp macro="" textlink="'Back End'!B7">
        <xdr:nvSpPr>
          <xdr:cNvPr id="12" name="TextBox 11">
            <a:extLst>
              <a:ext uri="{FF2B5EF4-FFF2-40B4-BE49-F238E27FC236}">
                <a16:creationId xmlns:a16="http://schemas.microsoft.com/office/drawing/2014/main" id="{BB69316F-DC47-4E4D-99A1-95E66AD2BDC0}"/>
              </a:ext>
            </a:extLst>
          </xdr:cNvPr>
          <xdr:cNvSpPr txBox="1"/>
        </xdr:nvSpPr>
        <xdr:spPr>
          <a:xfrm>
            <a:off x="4922520" y="270510"/>
            <a:ext cx="64770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8ABD14-15DD-47D8-9DC3-C282111AF840}" type="TxLink">
              <a:rPr lang="en-US" sz="3600" b="0" i="0" u="none" strike="noStrike">
                <a:solidFill>
                  <a:srgbClr val="D70303"/>
                </a:solidFill>
                <a:latin typeface="Bebas Neue" panose="020B0606020202050201" pitchFamily="34" charset="0"/>
                <a:ea typeface="Calibri"/>
                <a:cs typeface="Calibri"/>
              </a:rPr>
              <a:pPr/>
              <a:t>8.3</a:t>
            </a:fld>
            <a:endParaRPr lang="en-IN" sz="3600">
              <a:solidFill>
                <a:srgbClr val="D70303"/>
              </a:solidFill>
              <a:latin typeface="Bebas Neue" panose="020B0606020202050201" pitchFamily="34" charset="0"/>
            </a:endParaRPr>
          </a:p>
        </xdr:txBody>
      </xdr:sp>
      <xdr:sp macro="" textlink="">
        <xdr:nvSpPr>
          <xdr:cNvPr id="14" name="Rectangle: Rounded Corners 13">
            <a:extLst>
              <a:ext uri="{FF2B5EF4-FFF2-40B4-BE49-F238E27FC236}">
                <a16:creationId xmlns:a16="http://schemas.microsoft.com/office/drawing/2014/main" id="{AB29A42D-488A-4015-B16F-1FA84A63935B}"/>
              </a:ext>
            </a:extLst>
          </xdr:cNvPr>
          <xdr:cNvSpPr/>
        </xdr:nvSpPr>
        <xdr:spPr>
          <a:xfrm>
            <a:off x="2232660" y="1089660"/>
            <a:ext cx="3390900" cy="3642360"/>
          </a:xfrm>
          <a:prstGeom prst="roundRect">
            <a:avLst>
              <a:gd name="adj" fmla="val 3184"/>
            </a:avLst>
          </a:prstGeom>
          <a:solidFill>
            <a:schemeClr val="bg2">
              <a:lumMod val="2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5" name="Chart 14">
            <a:extLst>
              <a:ext uri="{FF2B5EF4-FFF2-40B4-BE49-F238E27FC236}">
                <a16:creationId xmlns:a16="http://schemas.microsoft.com/office/drawing/2014/main" id="{73DF869A-DFED-4D2F-AC55-1971E5AD4492}"/>
              </a:ext>
            </a:extLst>
          </xdr:cNvPr>
          <xdr:cNvGraphicFramePr>
            <a:graphicFrameLocks/>
          </xdr:cNvGraphicFramePr>
        </xdr:nvGraphicFramePr>
        <xdr:xfrm>
          <a:off x="2697480" y="1406599"/>
          <a:ext cx="2415540" cy="1466405"/>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6" name="TextBox 15">
            <a:extLst>
              <a:ext uri="{FF2B5EF4-FFF2-40B4-BE49-F238E27FC236}">
                <a16:creationId xmlns:a16="http://schemas.microsoft.com/office/drawing/2014/main" id="{E71B2182-24E4-4E3A-85B2-53C756EB6B22}"/>
              </a:ext>
            </a:extLst>
          </xdr:cNvPr>
          <xdr:cNvSpPr txBox="1"/>
        </xdr:nvSpPr>
        <xdr:spPr>
          <a:xfrm>
            <a:off x="2301240" y="1125665"/>
            <a:ext cx="2453640" cy="335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200" b="1">
                <a:solidFill>
                  <a:schemeClr val="bg1">
                    <a:lumMod val="85000"/>
                  </a:schemeClr>
                </a:solidFill>
                <a:latin typeface="Segoe UI Black" panose="020B0A02040204020203" pitchFamily="34" charset="0"/>
                <a:ea typeface="Segoe UI Black" panose="020B0A02040204020203" pitchFamily="34" charset="0"/>
                <a:cs typeface="Segoe UI Semibold" panose="020B0702040204020203" pitchFamily="34" charset="0"/>
              </a:rPr>
              <a:t>IMDB</a:t>
            </a:r>
            <a:r>
              <a:rPr lang="en-IN" sz="1200" b="1" baseline="0">
                <a:solidFill>
                  <a:schemeClr val="bg1">
                    <a:lumMod val="85000"/>
                  </a:schemeClr>
                </a:solidFill>
                <a:latin typeface="Segoe UI Black" panose="020B0A02040204020203" pitchFamily="34" charset="0"/>
                <a:ea typeface="Segoe UI Black" panose="020B0A02040204020203" pitchFamily="34" charset="0"/>
                <a:cs typeface="Segoe UI Semibold" panose="020B0702040204020203" pitchFamily="34" charset="0"/>
              </a:rPr>
              <a:t> RATING DISTRIBUTION</a:t>
            </a:r>
            <a:endParaRPr lang="en-IN" sz="1200" b="1">
              <a:solidFill>
                <a:schemeClr val="bg1">
                  <a:lumMod val="8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sp macro="" textlink="">
        <xdr:nvSpPr>
          <xdr:cNvPr id="17" name="TextBox 16">
            <a:extLst>
              <a:ext uri="{FF2B5EF4-FFF2-40B4-BE49-F238E27FC236}">
                <a16:creationId xmlns:a16="http://schemas.microsoft.com/office/drawing/2014/main" id="{84F4736B-7824-483D-8C75-46D78F54BC6F}"/>
              </a:ext>
            </a:extLst>
          </xdr:cNvPr>
          <xdr:cNvSpPr txBox="1"/>
        </xdr:nvSpPr>
        <xdr:spPr>
          <a:xfrm>
            <a:off x="2301240" y="2860122"/>
            <a:ext cx="2072640" cy="335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200" b="1">
                <a:solidFill>
                  <a:schemeClr val="bg1">
                    <a:lumMod val="85000"/>
                  </a:schemeClr>
                </a:solidFill>
                <a:latin typeface="Segoe UI Black" panose="020B0A02040204020203" pitchFamily="34" charset="0"/>
                <a:ea typeface="Segoe UI Black" panose="020B0A02040204020203" pitchFamily="34" charset="0"/>
                <a:cs typeface="Segoe UI Semibold" panose="020B0702040204020203" pitchFamily="34" charset="0"/>
              </a:rPr>
              <a:t>MOVIES</a:t>
            </a:r>
            <a:r>
              <a:rPr lang="en-IN" sz="1200" b="1" baseline="0">
                <a:solidFill>
                  <a:schemeClr val="bg1">
                    <a:lumMod val="85000"/>
                  </a:schemeClr>
                </a:solidFill>
                <a:latin typeface="Segoe UI Black" panose="020B0A02040204020203" pitchFamily="34" charset="0"/>
                <a:ea typeface="Segoe UI Black" panose="020B0A02040204020203" pitchFamily="34" charset="0"/>
                <a:cs typeface="Segoe UI Semibold" panose="020B0702040204020203" pitchFamily="34" charset="0"/>
              </a:rPr>
              <a:t> BY AGE RATING</a:t>
            </a:r>
            <a:endParaRPr lang="en-IN" sz="1200" b="1">
              <a:solidFill>
                <a:schemeClr val="bg1">
                  <a:lumMod val="8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graphicFrame macro="">
        <xdr:nvGraphicFramePr>
          <xdr:cNvPr id="19" name="Chart 18">
            <a:extLst>
              <a:ext uri="{FF2B5EF4-FFF2-40B4-BE49-F238E27FC236}">
                <a16:creationId xmlns:a16="http://schemas.microsoft.com/office/drawing/2014/main" id="{98B4E500-AA00-44B9-A92F-E8D07100E904}"/>
              </a:ext>
            </a:extLst>
          </xdr:cNvPr>
          <xdr:cNvGraphicFramePr>
            <a:graphicFrameLocks/>
          </xdr:cNvGraphicFramePr>
        </xdr:nvGraphicFramePr>
        <xdr:xfrm>
          <a:off x="2667000" y="3116349"/>
          <a:ext cx="2499360" cy="1580721"/>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0" name="Rectangle: Rounded Corners 19">
            <a:extLst>
              <a:ext uri="{FF2B5EF4-FFF2-40B4-BE49-F238E27FC236}">
                <a16:creationId xmlns:a16="http://schemas.microsoft.com/office/drawing/2014/main" id="{388EF9C9-13F2-40DF-A09A-BEC806F75F65}"/>
              </a:ext>
            </a:extLst>
          </xdr:cNvPr>
          <xdr:cNvSpPr/>
        </xdr:nvSpPr>
        <xdr:spPr>
          <a:xfrm>
            <a:off x="5722620" y="281940"/>
            <a:ext cx="5143500" cy="2416910"/>
          </a:xfrm>
          <a:prstGeom prst="roundRect">
            <a:avLst>
              <a:gd name="adj" fmla="val 3361"/>
            </a:avLst>
          </a:prstGeom>
          <a:solidFill>
            <a:schemeClr val="bg2">
              <a:lumMod val="2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A2D1266F-B1F6-4958-B974-6586BFA8B6F1}"/>
              </a:ext>
            </a:extLst>
          </xdr:cNvPr>
          <xdr:cNvSpPr/>
        </xdr:nvSpPr>
        <xdr:spPr>
          <a:xfrm>
            <a:off x="5722620" y="2796540"/>
            <a:ext cx="5143500" cy="1917966"/>
          </a:xfrm>
          <a:prstGeom prst="roundRect">
            <a:avLst>
              <a:gd name="adj" fmla="val 3702"/>
            </a:avLst>
          </a:prstGeom>
          <a:solidFill>
            <a:schemeClr val="bg2">
              <a:lumMod val="2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4C05BC87-30C8-4845-A168-C697913366A2}"/>
              </a:ext>
            </a:extLst>
          </xdr:cNvPr>
          <xdr:cNvSpPr txBox="1"/>
        </xdr:nvSpPr>
        <xdr:spPr>
          <a:xfrm>
            <a:off x="5806440" y="2825358"/>
            <a:ext cx="2072640" cy="334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200" b="1">
                <a:solidFill>
                  <a:schemeClr val="bg1">
                    <a:lumMod val="85000"/>
                  </a:schemeClr>
                </a:solidFill>
                <a:latin typeface="Segoe UI Black" panose="020B0A02040204020203" pitchFamily="34" charset="0"/>
                <a:ea typeface="Segoe UI Black" panose="020B0A02040204020203" pitchFamily="34" charset="0"/>
                <a:cs typeface="Segoe UI Semibold" panose="020B0702040204020203" pitchFamily="34" charset="0"/>
              </a:rPr>
              <a:t>MOVIES</a:t>
            </a:r>
            <a:r>
              <a:rPr lang="en-IN" sz="1200" b="1" baseline="0">
                <a:solidFill>
                  <a:schemeClr val="bg1">
                    <a:lumMod val="85000"/>
                  </a:schemeClr>
                </a:solidFill>
                <a:latin typeface="Segoe UI Black" panose="020B0A02040204020203" pitchFamily="34" charset="0"/>
                <a:ea typeface="Segoe UI Black" panose="020B0A02040204020203" pitchFamily="34" charset="0"/>
                <a:cs typeface="Segoe UI Semibold" panose="020B0702040204020203" pitchFamily="34" charset="0"/>
              </a:rPr>
              <a:t> BY YEAR</a:t>
            </a:r>
            <a:endParaRPr lang="en-IN" sz="1200" b="1">
              <a:solidFill>
                <a:schemeClr val="bg1">
                  <a:lumMod val="8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graphicFrame macro="">
        <xdr:nvGraphicFramePr>
          <xdr:cNvPr id="13" name="Chart 12">
            <a:extLst>
              <a:ext uri="{FF2B5EF4-FFF2-40B4-BE49-F238E27FC236}">
                <a16:creationId xmlns:a16="http://schemas.microsoft.com/office/drawing/2014/main" id="{612A849F-0BF1-4932-A268-3E2853F330B7}"/>
              </a:ext>
            </a:extLst>
          </xdr:cNvPr>
          <xdr:cNvGraphicFramePr>
            <a:graphicFrameLocks/>
          </xdr:cNvGraphicFramePr>
        </xdr:nvGraphicFramePr>
        <xdr:xfrm>
          <a:off x="5836920" y="3064025"/>
          <a:ext cx="4960620" cy="1637515"/>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4" name="Chart 23">
            <a:extLst>
              <a:ext uri="{FF2B5EF4-FFF2-40B4-BE49-F238E27FC236}">
                <a16:creationId xmlns:a16="http://schemas.microsoft.com/office/drawing/2014/main" id="{118C23A1-FA52-4A52-B85F-352DC9EE20AA}"/>
              </a:ext>
            </a:extLst>
          </xdr:cNvPr>
          <xdr:cNvGraphicFramePr>
            <a:graphicFrameLocks/>
          </xdr:cNvGraphicFramePr>
        </xdr:nvGraphicFramePr>
        <xdr:xfrm>
          <a:off x="5859780" y="668459"/>
          <a:ext cx="4831080" cy="1936677"/>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5" name="TextBox 24">
            <a:extLst>
              <a:ext uri="{FF2B5EF4-FFF2-40B4-BE49-F238E27FC236}">
                <a16:creationId xmlns:a16="http://schemas.microsoft.com/office/drawing/2014/main" id="{BE235831-1EC7-465C-8993-405B3ACC934B}"/>
              </a:ext>
            </a:extLst>
          </xdr:cNvPr>
          <xdr:cNvSpPr txBox="1"/>
        </xdr:nvSpPr>
        <xdr:spPr>
          <a:xfrm>
            <a:off x="5844540" y="294534"/>
            <a:ext cx="3314700" cy="334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200" b="1">
                <a:solidFill>
                  <a:schemeClr val="bg1">
                    <a:lumMod val="85000"/>
                  </a:schemeClr>
                </a:solidFill>
                <a:latin typeface="Segoe UI Black" panose="020B0A02040204020203" pitchFamily="34" charset="0"/>
                <a:ea typeface="Segoe UI Black" panose="020B0A02040204020203" pitchFamily="34" charset="0"/>
                <a:cs typeface="Segoe UI Semibold" panose="020B0702040204020203" pitchFamily="34" charset="0"/>
              </a:rPr>
              <a:t>GENRE POPULARITY vs. IMDB RATING</a:t>
            </a:r>
          </a:p>
        </xdr:txBody>
      </xdr:sp>
      <xdr:pic>
        <xdr:nvPicPr>
          <xdr:cNvPr id="30" name="Picture 29">
            <a:extLst>
              <a:ext uri="{FF2B5EF4-FFF2-40B4-BE49-F238E27FC236}">
                <a16:creationId xmlns:a16="http://schemas.microsoft.com/office/drawing/2014/main" id="{C687CB7B-3D01-8A39-3BC2-0C9EAD1EEE8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250179" y="1181100"/>
            <a:ext cx="297181" cy="237946"/>
          </a:xfrm>
          <a:prstGeom prst="rect">
            <a:avLst/>
          </a:prstGeom>
        </xdr:spPr>
      </xdr:pic>
      <xdr:pic>
        <xdr:nvPicPr>
          <xdr:cNvPr id="31" name="Picture 30">
            <a:extLst>
              <a:ext uri="{FF2B5EF4-FFF2-40B4-BE49-F238E27FC236}">
                <a16:creationId xmlns:a16="http://schemas.microsoft.com/office/drawing/2014/main" id="{0A3FED3D-9E15-4C79-AEF3-5EB8C466312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500359" y="396240"/>
            <a:ext cx="297181" cy="237946"/>
          </a:xfrm>
          <a:prstGeom prst="rect">
            <a:avLst/>
          </a:prstGeom>
        </xdr:spPr>
      </xdr:pic>
      <xdr:pic>
        <xdr:nvPicPr>
          <xdr:cNvPr id="32" name="Picture 31">
            <a:extLst>
              <a:ext uri="{FF2B5EF4-FFF2-40B4-BE49-F238E27FC236}">
                <a16:creationId xmlns:a16="http://schemas.microsoft.com/office/drawing/2014/main" id="{11D2F031-C9D0-4CB6-80BF-1621BE309CF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507979" y="2903220"/>
            <a:ext cx="297181" cy="237946"/>
          </a:xfrm>
          <a:prstGeom prst="rect">
            <a:avLst/>
          </a:prstGeom>
        </xdr:spPr>
      </xdr:pic>
      <xdr:sp macro="" textlink="">
        <xdr:nvSpPr>
          <xdr:cNvPr id="26" name="Rectangle: Rounded Corners 25">
            <a:extLst>
              <a:ext uri="{FF2B5EF4-FFF2-40B4-BE49-F238E27FC236}">
                <a16:creationId xmlns:a16="http://schemas.microsoft.com/office/drawing/2014/main" id="{656807D0-4880-4E7C-BD16-BB58E0D1ED78}"/>
              </a:ext>
            </a:extLst>
          </xdr:cNvPr>
          <xdr:cNvSpPr/>
        </xdr:nvSpPr>
        <xdr:spPr>
          <a:xfrm>
            <a:off x="10988040" y="289561"/>
            <a:ext cx="2804160" cy="733254"/>
          </a:xfrm>
          <a:prstGeom prst="roundRect">
            <a:avLst>
              <a:gd name="adj" fmla="val 10157"/>
            </a:avLst>
          </a:prstGeom>
          <a:solidFill>
            <a:schemeClr val="bg2">
              <a:lumMod val="2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ectangle: Rounded Corners 33">
            <a:extLst>
              <a:ext uri="{FF2B5EF4-FFF2-40B4-BE49-F238E27FC236}">
                <a16:creationId xmlns:a16="http://schemas.microsoft.com/office/drawing/2014/main" id="{6E7A414F-E5AB-20ED-E24E-FABD0DF63A73}"/>
              </a:ext>
            </a:extLst>
          </xdr:cNvPr>
          <xdr:cNvSpPr/>
        </xdr:nvSpPr>
        <xdr:spPr>
          <a:xfrm>
            <a:off x="10988040" y="1127759"/>
            <a:ext cx="2804160" cy="3596641"/>
          </a:xfrm>
          <a:prstGeom prst="roundRect">
            <a:avLst>
              <a:gd name="adj" fmla="val 2276"/>
            </a:avLst>
          </a:prstGeom>
          <a:solidFill>
            <a:schemeClr val="bg2">
              <a:lumMod val="2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6" name="Chart 35">
            <a:extLst>
              <a:ext uri="{FF2B5EF4-FFF2-40B4-BE49-F238E27FC236}">
                <a16:creationId xmlns:a16="http://schemas.microsoft.com/office/drawing/2014/main" id="{9D5654C8-2E75-476E-9E59-F57EECFDA7DD}"/>
              </a:ext>
            </a:extLst>
          </xdr:cNvPr>
          <xdr:cNvGraphicFramePr>
            <a:graphicFrameLocks/>
          </xdr:cNvGraphicFramePr>
        </xdr:nvGraphicFramePr>
        <xdr:xfrm>
          <a:off x="11026140" y="1363980"/>
          <a:ext cx="2758440" cy="33528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39" name="TextBox 38">
            <a:extLst>
              <a:ext uri="{FF2B5EF4-FFF2-40B4-BE49-F238E27FC236}">
                <a16:creationId xmlns:a16="http://schemas.microsoft.com/office/drawing/2014/main" id="{3E852AFB-7971-44F2-A217-36E9B1EB8A04}"/>
              </a:ext>
            </a:extLst>
          </xdr:cNvPr>
          <xdr:cNvSpPr txBox="1"/>
        </xdr:nvSpPr>
        <xdr:spPr>
          <a:xfrm>
            <a:off x="11018520" y="1147974"/>
            <a:ext cx="1318260" cy="334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200" b="1">
                <a:solidFill>
                  <a:schemeClr val="bg1">
                    <a:lumMod val="85000"/>
                  </a:schemeClr>
                </a:solidFill>
                <a:latin typeface="Segoe UI Black" panose="020B0A02040204020203" pitchFamily="34" charset="0"/>
                <a:ea typeface="Segoe UI Black" panose="020B0A02040204020203" pitchFamily="34" charset="0"/>
                <a:cs typeface="Segoe UI Semibold" panose="020B0702040204020203" pitchFamily="34" charset="0"/>
              </a:rPr>
              <a:t>TOP</a:t>
            </a:r>
            <a:r>
              <a:rPr lang="en-IN" sz="1200" b="1" baseline="0">
                <a:solidFill>
                  <a:schemeClr val="bg1">
                    <a:lumMod val="85000"/>
                  </a:schemeClr>
                </a:solidFill>
                <a:latin typeface="Segoe UI Black" panose="020B0A02040204020203" pitchFamily="34" charset="0"/>
                <a:ea typeface="Segoe UI Black" panose="020B0A02040204020203" pitchFamily="34" charset="0"/>
                <a:cs typeface="Segoe UI Semibold" panose="020B0702040204020203" pitchFamily="34" charset="0"/>
              </a:rPr>
              <a:t> 5 MOVIES</a:t>
            </a:r>
            <a:endParaRPr lang="en-IN" sz="1200" b="1">
              <a:solidFill>
                <a:schemeClr val="bg1">
                  <a:lumMod val="8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pic>
        <xdr:nvPicPr>
          <xdr:cNvPr id="40" name="Picture 39">
            <a:extLst>
              <a:ext uri="{FF2B5EF4-FFF2-40B4-BE49-F238E27FC236}">
                <a16:creationId xmlns:a16="http://schemas.microsoft.com/office/drawing/2014/main" id="{7E6ADDD4-2D54-4566-BEDE-FE55F1E567D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426439" y="1249680"/>
            <a:ext cx="297181" cy="237946"/>
          </a:xfrm>
          <a:prstGeom prst="rect">
            <a:avLst/>
          </a:prstGeom>
        </xdr:spPr>
      </xdr:pic>
      <mc:AlternateContent xmlns:mc="http://schemas.openxmlformats.org/markup-compatibility/2006" xmlns:a14="http://schemas.microsoft.com/office/drawing/2010/main">
        <mc:Choice Requires="a14">
          <xdr:graphicFrame macro="">
            <xdr:nvGraphicFramePr>
              <xdr:cNvPr id="18" name="Age Rating 1">
                <a:extLst>
                  <a:ext uri="{FF2B5EF4-FFF2-40B4-BE49-F238E27FC236}">
                    <a16:creationId xmlns:a16="http://schemas.microsoft.com/office/drawing/2014/main" id="{6BC5A570-1407-CABB-F10E-1C54587ABE6E}"/>
                  </a:ext>
                </a:extLst>
              </xdr:cNvPr>
              <xdr:cNvGraphicFramePr/>
            </xdr:nvGraphicFramePr>
            <xdr:xfrm>
              <a:off x="11026140" y="297181"/>
              <a:ext cx="2727960" cy="685800"/>
            </xdr:xfrm>
            <a:graphic>
              <a:graphicData uri="http://schemas.microsoft.com/office/drawing/2010/slicer">
                <sle:slicer xmlns:sle="http://schemas.microsoft.com/office/drawing/2010/slicer" name="Age Rating 1"/>
              </a:graphicData>
            </a:graphic>
          </xdr:graphicFrame>
        </mc:Choice>
        <mc:Fallback xmlns="">
          <xdr:sp macro="" textlink="">
            <xdr:nvSpPr>
              <xdr:cNvPr id="0" name=""/>
              <xdr:cNvSpPr>
                <a:spLocks noTextEdit="1"/>
              </xdr:cNvSpPr>
            </xdr:nvSpPr>
            <xdr:spPr>
              <a:xfrm>
                <a:off x="11026140" y="297181"/>
                <a:ext cx="2727960"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7" name="TextBox 36">
            <a:extLst>
              <a:ext uri="{FF2B5EF4-FFF2-40B4-BE49-F238E27FC236}">
                <a16:creationId xmlns:a16="http://schemas.microsoft.com/office/drawing/2014/main" id="{7273E486-D8C0-4CEE-86CB-748B6917E945}"/>
              </a:ext>
            </a:extLst>
          </xdr:cNvPr>
          <xdr:cNvSpPr txBox="1"/>
        </xdr:nvSpPr>
        <xdr:spPr>
          <a:xfrm>
            <a:off x="603408" y="1027747"/>
            <a:ext cx="1147764" cy="285750"/>
          </a:xfrm>
          <a:prstGeom prst="rect">
            <a:avLst/>
          </a:prstGeom>
          <a:solidFill>
            <a:srgbClr val="FFCACA"/>
          </a:solidFill>
          <a:ln w="9525" cmpd="sng">
            <a:noFill/>
          </a:ln>
          <a:scene3d>
            <a:camera prst="perspectiveFront"/>
            <a:lightRig rig="threePt" dir="t"/>
          </a:scene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i="0" u="none" strike="noStrike">
                <a:solidFill>
                  <a:srgbClr val="E50914"/>
                </a:solidFill>
                <a:latin typeface="Segoe UI Black" panose="020B0A02040204020203" pitchFamily="34" charset="0"/>
                <a:ea typeface="Segoe UI Black" panose="020B0A02040204020203" pitchFamily="34" charset="0"/>
                <a:cs typeface="Segoe UI Semibold" panose="020B0702040204020203" pitchFamily="34" charset="0"/>
              </a:rPr>
              <a:t>INSIGHTS</a:t>
            </a:r>
          </a:p>
        </xdr:txBody>
      </xdr:sp>
      <xdr:cxnSp macro="">
        <xdr:nvCxnSpPr>
          <xdr:cNvPr id="42" name="Straight Connector 41">
            <a:extLst>
              <a:ext uri="{FF2B5EF4-FFF2-40B4-BE49-F238E27FC236}">
                <a16:creationId xmlns:a16="http://schemas.microsoft.com/office/drawing/2014/main" id="{2BE73FA5-E9FF-0AB8-4977-F20E0AFA1466}"/>
              </a:ext>
            </a:extLst>
          </xdr:cNvPr>
          <xdr:cNvCxnSpPr/>
        </xdr:nvCxnSpPr>
        <xdr:spPr>
          <a:xfrm flipV="1">
            <a:off x="690568" y="828706"/>
            <a:ext cx="973445" cy="0"/>
          </a:xfrm>
          <a:prstGeom prst="line">
            <a:avLst/>
          </a:prstGeom>
          <a:ln w="12700" cap="flat" cmpd="sng" algn="ctr">
            <a:solidFill>
              <a:srgbClr val="FFCACA"/>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sp macro="" textlink="'Back End'!E101">
        <xdr:nvSpPr>
          <xdr:cNvPr id="47" name="TextBox 46">
            <a:extLst>
              <a:ext uri="{FF2B5EF4-FFF2-40B4-BE49-F238E27FC236}">
                <a16:creationId xmlns:a16="http://schemas.microsoft.com/office/drawing/2014/main" id="{C24E6632-72FE-9701-54EC-B799F98F4C7B}"/>
              </a:ext>
            </a:extLst>
          </xdr:cNvPr>
          <xdr:cNvSpPr txBox="1"/>
        </xdr:nvSpPr>
        <xdr:spPr>
          <a:xfrm>
            <a:off x="438150" y="1684020"/>
            <a:ext cx="14782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59736A6-370C-41FE-9A1E-7ED20711CB60}" type="TxLink">
              <a:rPr lang="en-US" sz="900" b="1" i="0" u="none" strike="noStrike">
                <a:solidFill>
                  <a:srgbClr val="FFCACA"/>
                </a:solidFill>
                <a:latin typeface="Segoe UI" panose="020B0502040204020203" pitchFamily="34" charset="0"/>
                <a:ea typeface="Segoe UI Black" panose="020B0A02040204020203" pitchFamily="34" charset="0"/>
                <a:cs typeface="Segoe UI" panose="020B0502040204020203" pitchFamily="34" charset="0"/>
              </a:rPr>
              <a:pPr marL="0" indent="0" algn="ctr"/>
              <a:t> Crime/Drama </a:t>
            </a:fld>
            <a:endParaRPr lang="en-IN" sz="900" b="1" i="0" u="none" strike="noStrike">
              <a:solidFill>
                <a:srgbClr val="FFCACA"/>
              </a:solidFill>
              <a:latin typeface="Segoe UI" panose="020B0502040204020203" pitchFamily="34" charset="0"/>
              <a:ea typeface="Segoe UI Black" panose="020B0A02040204020203" pitchFamily="34" charset="0"/>
              <a:cs typeface="Segoe UI" panose="020B0502040204020203" pitchFamily="34" charset="0"/>
            </a:endParaRPr>
          </a:p>
        </xdr:txBody>
      </xdr:sp>
      <xdr:sp macro="" textlink="">
        <xdr:nvSpPr>
          <xdr:cNvPr id="48" name="TextBox 47">
            <a:extLst>
              <a:ext uri="{FF2B5EF4-FFF2-40B4-BE49-F238E27FC236}">
                <a16:creationId xmlns:a16="http://schemas.microsoft.com/office/drawing/2014/main" id="{AFC72176-105A-40B0-BAB9-7F9C1F43B606}"/>
              </a:ext>
            </a:extLst>
          </xdr:cNvPr>
          <xdr:cNvSpPr txBox="1"/>
        </xdr:nvSpPr>
        <xdr:spPr>
          <a:xfrm>
            <a:off x="745806" y="1401127"/>
            <a:ext cx="85820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E50914"/>
                </a:solidFill>
                <a:latin typeface="Aptos Display" panose="020B0004020202020204" pitchFamily="34" charset="0"/>
                <a:ea typeface="Segoe UI Black" panose="020B0A02040204020203" pitchFamily="34" charset="0"/>
                <a:cs typeface="Segoe UI Semibold" panose="020B0702040204020203" pitchFamily="34" charset="0"/>
              </a:rPr>
              <a:t>Top</a:t>
            </a:r>
            <a:r>
              <a:rPr lang="en-US" sz="1200" b="1" i="0" u="none" strike="noStrike" baseline="0">
                <a:solidFill>
                  <a:srgbClr val="E50914"/>
                </a:solidFill>
                <a:latin typeface="Aptos Display" panose="020B0004020202020204" pitchFamily="34" charset="0"/>
                <a:ea typeface="Segoe UI Black" panose="020B0A02040204020203" pitchFamily="34" charset="0"/>
                <a:cs typeface="Segoe UI Semibold" panose="020B0702040204020203" pitchFamily="34" charset="0"/>
              </a:rPr>
              <a:t> Genre</a:t>
            </a:r>
            <a:endParaRPr lang="en-US" sz="1200" b="1" i="0" u="none" strike="noStrike">
              <a:solidFill>
                <a:srgbClr val="E50914"/>
              </a:solidFill>
              <a:latin typeface="Aptos Display" panose="020B0004020202020204" pitchFamily="34" charset="0"/>
              <a:ea typeface="Segoe UI Black" panose="020B0A02040204020203" pitchFamily="34" charset="0"/>
              <a:cs typeface="Segoe UI Semibold" panose="020B0702040204020203" pitchFamily="34" charset="0"/>
            </a:endParaRPr>
          </a:p>
        </xdr:txBody>
      </xdr:sp>
      <xdr:grpSp>
        <xdr:nvGrpSpPr>
          <xdr:cNvPr id="60" name="Group 59">
            <a:extLst>
              <a:ext uri="{FF2B5EF4-FFF2-40B4-BE49-F238E27FC236}">
                <a16:creationId xmlns:a16="http://schemas.microsoft.com/office/drawing/2014/main" id="{2BD7A42F-9784-F1EA-F98C-D637E6B08FAA}"/>
              </a:ext>
            </a:extLst>
          </xdr:cNvPr>
          <xdr:cNvGrpSpPr/>
        </xdr:nvGrpSpPr>
        <xdr:grpSpPr>
          <a:xfrm>
            <a:off x="106680" y="2132647"/>
            <a:ext cx="2141220" cy="587693"/>
            <a:chOff x="30480" y="1820227"/>
            <a:chExt cx="2141220" cy="587693"/>
          </a:xfrm>
        </xdr:grpSpPr>
        <xdr:sp macro="" textlink="">
          <xdr:nvSpPr>
            <xdr:cNvPr id="49" name="TextBox 48">
              <a:extLst>
                <a:ext uri="{FF2B5EF4-FFF2-40B4-BE49-F238E27FC236}">
                  <a16:creationId xmlns:a16="http://schemas.microsoft.com/office/drawing/2014/main" id="{3C229247-BF4B-40D8-BD42-0628DFA50EDF}"/>
                </a:ext>
              </a:extLst>
            </xdr:cNvPr>
            <xdr:cNvSpPr txBox="1"/>
          </xdr:nvSpPr>
          <xdr:spPr>
            <a:xfrm>
              <a:off x="338136" y="1820227"/>
              <a:ext cx="153638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E50914"/>
                  </a:solidFill>
                  <a:latin typeface="Aptos Display" panose="020B0004020202020204" pitchFamily="34" charset="0"/>
                  <a:ea typeface="Segoe UI Black" panose="020B0A02040204020203" pitchFamily="34" charset="0"/>
                  <a:cs typeface="Segoe UI Semibold" panose="020B0702040204020203" pitchFamily="34" charset="0"/>
                </a:rPr>
                <a:t>Highest</a:t>
              </a:r>
              <a:r>
                <a:rPr lang="en-US" sz="1200" b="1" i="0" u="none" strike="noStrike" baseline="0">
                  <a:solidFill>
                    <a:srgbClr val="E50914"/>
                  </a:solidFill>
                  <a:latin typeface="Aptos Display" panose="020B0004020202020204" pitchFamily="34" charset="0"/>
                  <a:ea typeface="Segoe UI Black" panose="020B0A02040204020203" pitchFamily="34" charset="0"/>
                  <a:cs typeface="Segoe UI Semibold" panose="020B0702040204020203" pitchFamily="34" charset="0"/>
                </a:rPr>
                <a:t> Rated Movie</a:t>
              </a:r>
              <a:endParaRPr lang="en-US" sz="1200" b="1" i="0" u="none" strike="noStrike">
                <a:solidFill>
                  <a:srgbClr val="E50914"/>
                </a:solidFill>
                <a:latin typeface="Aptos Display" panose="020B0004020202020204" pitchFamily="34" charset="0"/>
                <a:ea typeface="Segoe UI Black" panose="020B0A02040204020203" pitchFamily="34" charset="0"/>
                <a:cs typeface="Segoe UI Semibold" panose="020B0702040204020203" pitchFamily="34" charset="0"/>
              </a:endParaRPr>
            </a:p>
          </xdr:txBody>
        </xdr:sp>
        <xdr:sp macro="" textlink="'Back End'!A127">
          <xdr:nvSpPr>
            <xdr:cNvPr id="51" name="TextBox 50">
              <a:extLst>
                <a:ext uri="{FF2B5EF4-FFF2-40B4-BE49-F238E27FC236}">
                  <a16:creationId xmlns:a16="http://schemas.microsoft.com/office/drawing/2014/main" id="{5194EEC2-C620-ED55-D4C8-22672F1DFE06}"/>
                </a:ext>
              </a:extLst>
            </xdr:cNvPr>
            <xdr:cNvSpPr txBox="1"/>
          </xdr:nvSpPr>
          <xdr:spPr>
            <a:xfrm>
              <a:off x="30480" y="2141220"/>
              <a:ext cx="21412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2F48C29-F0DD-40E4-BCD7-A91AD1297EBB}" type="TxLink">
                <a:rPr lang="en-US" sz="900" b="1" i="0" u="none" strike="noStrike">
                  <a:solidFill>
                    <a:srgbClr val="FFCACA"/>
                  </a:solidFill>
                  <a:latin typeface="Segoe UI" panose="020B0502040204020203" pitchFamily="34" charset="0"/>
                  <a:ea typeface="Segoe UI Black" panose="020B0A02040204020203" pitchFamily="34" charset="0"/>
                  <a:cs typeface="Segoe UI" panose="020B0502040204020203" pitchFamily="34" charset="0"/>
                </a:rPr>
                <a:pPr marL="0" indent="0" algn="ctr"/>
                <a:t>The Shawshank Redemption </a:t>
              </a:fld>
              <a:endParaRPr lang="en-IN" sz="900" b="1" i="0" u="none" strike="noStrike">
                <a:solidFill>
                  <a:srgbClr val="FFCACA"/>
                </a:solidFill>
                <a:latin typeface="Segoe UI" panose="020B0502040204020203" pitchFamily="34" charset="0"/>
                <a:ea typeface="Segoe UI Black" panose="020B0A02040204020203" pitchFamily="34" charset="0"/>
                <a:cs typeface="Segoe UI" panose="020B0502040204020203" pitchFamily="34" charset="0"/>
              </a:endParaRPr>
            </a:p>
          </xdr:txBody>
        </xdr:sp>
      </xdr:grpSp>
      <xdr:grpSp>
        <xdr:nvGrpSpPr>
          <xdr:cNvPr id="59" name="Group 58">
            <a:extLst>
              <a:ext uri="{FF2B5EF4-FFF2-40B4-BE49-F238E27FC236}">
                <a16:creationId xmlns:a16="http://schemas.microsoft.com/office/drawing/2014/main" id="{935D5461-2C42-C861-7DB9-B272EB235452}"/>
              </a:ext>
            </a:extLst>
          </xdr:cNvPr>
          <xdr:cNvGrpSpPr/>
        </xdr:nvGrpSpPr>
        <xdr:grpSpPr>
          <a:xfrm>
            <a:off x="409098" y="2970847"/>
            <a:ext cx="1536384" cy="534353"/>
            <a:chOff x="338136" y="2422207"/>
            <a:chExt cx="1536384" cy="534353"/>
          </a:xfrm>
        </xdr:grpSpPr>
        <xdr:sp macro="" textlink="">
          <xdr:nvSpPr>
            <xdr:cNvPr id="52" name="TextBox 51">
              <a:extLst>
                <a:ext uri="{FF2B5EF4-FFF2-40B4-BE49-F238E27FC236}">
                  <a16:creationId xmlns:a16="http://schemas.microsoft.com/office/drawing/2014/main" id="{90293859-1336-4FAE-87B4-188CE6E809E5}"/>
                </a:ext>
              </a:extLst>
            </xdr:cNvPr>
            <xdr:cNvSpPr txBox="1"/>
          </xdr:nvSpPr>
          <xdr:spPr>
            <a:xfrm>
              <a:off x="338136" y="2422207"/>
              <a:ext cx="153638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i="0" u="none" strike="noStrike">
                  <a:solidFill>
                    <a:srgbClr val="E50914"/>
                  </a:solidFill>
                  <a:latin typeface="Aptos Display" panose="020B0004020202020204" pitchFamily="34" charset="0"/>
                  <a:ea typeface="Segoe UI Black" panose="020B0A02040204020203" pitchFamily="34" charset="0"/>
                  <a:cs typeface="Segoe UI Semibold" panose="020B0702040204020203" pitchFamily="34" charset="0"/>
                </a:rPr>
                <a:t>Dominant Age Rating</a:t>
              </a:r>
              <a:endParaRPr lang="en-US" sz="1200" b="1" i="0" u="none" strike="noStrike">
                <a:solidFill>
                  <a:srgbClr val="E50914"/>
                </a:solidFill>
                <a:latin typeface="Aptos Display" panose="020B0004020202020204" pitchFamily="34" charset="0"/>
                <a:ea typeface="Segoe UI Black" panose="020B0A02040204020203" pitchFamily="34" charset="0"/>
                <a:cs typeface="Segoe UI Semibold" panose="020B0702040204020203" pitchFamily="34" charset="0"/>
              </a:endParaRPr>
            </a:p>
          </xdr:txBody>
        </xdr:sp>
        <xdr:sp macro="" textlink="'Back End'!E182">
          <xdr:nvSpPr>
            <xdr:cNvPr id="53" name="TextBox 52">
              <a:extLst>
                <a:ext uri="{FF2B5EF4-FFF2-40B4-BE49-F238E27FC236}">
                  <a16:creationId xmlns:a16="http://schemas.microsoft.com/office/drawing/2014/main" id="{25153CC9-B25B-2DEE-E318-FBA79AE07645}"/>
                </a:ext>
              </a:extLst>
            </xdr:cNvPr>
            <xdr:cNvSpPr txBox="1"/>
          </xdr:nvSpPr>
          <xdr:spPr>
            <a:xfrm>
              <a:off x="434340" y="2674620"/>
              <a:ext cx="12039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7C9D8EB-44F6-4A7E-8A4B-39A64066C0EC}" type="TxLink">
                <a:rPr lang="en-US" sz="900" b="1" i="0" u="none" strike="noStrike">
                  <a:solidFill>
                    <a:srgbClr val="FFCACA"/>
                  </a:solidFill>
                  <a:latin typeface="Segoe UI" panose="020B0502040204020203" pitchFamily="34" charset="0"/>
                  <a:ea typeface="Segoe UI Black" panose="020B0A02040204020203" pitchFamily="34" charset="0"/>
                  <a:cs typeface="Segoe UI" panose="020B0502040204020203" pitchFamily="34" charset="0"/>
                </a:rPr>
                <a:pPr marL="0" indent="0" algn="ctr"/>
                <a:t> R </a:t>
              </a:fld>
              <a:endParaRPr lang="en-IN" sz="900" b="1" i="0" u="none" strike="noStrike">
                <a:solidFill>
                  <a:srgbClr val="FFCACA"/>
                </a:solidFill>
                <a:latin typeface="Segoe UI" panose="020B0502040204020203" pitchFamily="34" charset="0"/>
                <a:ea typeface="Segoe UI Black" panose="020B0A02040204020203" pitchFamily="34" charset="0"/>
                <a:cs typeface="Segoe UI" panose="020B0502040204020203" pitchFamily="34" charset="0"/>
              </a:endParaRPr>
            </a:p>
          </xdr:txBody>
        </xdr:sp>
      </xdr:grpSp>
      <xdr:grpSp>
        <xdr:nvGrpSpPr>
          <xdr:cNvPr id="58" name="Group 57">
            <a:extLst>
              <a:ext uri="{FF2B5EF4-FFF2-40B4-BE49-F238E27FC236}">
                <a16:creationId xmlns:a16="http://schemas.microsoft.com/office/drawing/2014/main" id="{96F5D006-BE42-3238-2B8A-B92BAF242FCA}"/>
              </a:ext>
            </a:extLst>
          </xdr:cNvPr>
          <xdr:cNvGrpSpPr/>
        </xdr:nvGrpSpPr>
        <xdr:grpSpPr>
          <a:xfrm>
            <a:off x="351948" y="3610927"/>
            <a:ext cx="1650684" cy="534353"/>
            <a:chOff x="269556" y="2879407"/>
            <a:chExt cx="1650684" cy="534353"/>
          </a:xfrm>
        </xdr:grpSpPr>
        <xdr:sp macro="" textlink="">
          <xdr:nvSpPr>
            <xdr:cNvPr id="54" name="TextBox 53">
              <a:extLst>
                <a:ext uri="{FF2B5EF4-FFF2-40B4-BE49-F238E27FC236}">
                  <a16:creationId xmlns:a16="http://schemas.microsoft.com/office/drawing/2014/main" id="{CE6BB3DB-587B-4121-AC21-E163BB4374CE}"/>
                </a:ext>
              </a:extLst>
            </xdr:cNvPr>
            <xdr:cNvSpPr txBox="1"/>
          </xdr:nvSpPr>
          <xdr:spPr>
            <a:xfrm>
              <a:off x="269556" y="2879407"/>
              <a:ext cx="165068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i="0" u="none" strike="noStrike">
                  <a:solidFill>
                    <a:srgbClr val="E50914"/>
                  </a:solidFill>
                  <a:latin typeface="Aptos Display" panose="020B0004020202020204" pitchFamily="34" charset="0"/>
                  <a:ea typeface="Segoe UI Black" panose="020B0A02040204020203" pitchFamily="34" charset="0"/>
                  <a:cs typeface="Segoe UI Semibold" panose="020B0702040204020203" pitchFamily="34" charset="0"/>
                </a:rPr>
                <a:t>Average Duration</a:t>
              </a:r>
              <a:endParaRPr lang="en-US" sz="1200" b="1" i="0" u="none" strike="noStrike">
                <a:solidFill>
                  <a:srgbClr val="E50914"/>
                </a:solidFill>
                <a:latin typeface="Aptos Display" panose="020B0004020202020204" pitchFamily="34" charset="0"/>
                <a:ea typeface="Segoe UI Black" panose="020B0A02040204020203" pitchFamily="34" charset="0"/>
                <a:cs typeface="Segoe UI Semibold" panose="020B0702040204020203" pitchFamily="34" charset="0"/>
              </a:endParaRPr>
            </a:p>
          </xdr:txBody>
        </xdr:sp>
        <xdr:sp macro="" textlink="'Back End'!E190">
          <xdr:nvSpPr>
            <xdr:cNvPr id="57" name="TextBox 56">
              <a:extLst>
                <a:ext uri="{FF2B5EF4-FFF2-40B4-BE49-F238E27FC236}">
                  <a16:creationId xmlns:a16="http://schemas.microsoft.com/office/drawing/2014/main" id="{1844D814-9D0C-D83D-B176-F0CD332DFDF7}"/>
                </a:ext>
              </a:extLst>
            </xdr:cNvPr>
            <xdr:cNvSpPr txBox="1"/>
          </xdr:nvSpPr>
          <xdr:spPr>
            <a:xfrm>
              <a:off x="487680" y="3154680"/>
              <a:ext cx="1158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B04DB25-F69C-42E5-9AE1-DEAE0787EE5E}" type="TxLink">
                <a:rPr lang="en-US" sz="900" b="1" i="0" u="none" strike="noStrike">
                  <a:solidFill>
                    <a:srgbClr val="FFCACA"/>
                  </a:solidFill>
                  <a:latin typeface="Segoe UI" panose="020B0502040204020203" pitchFamily="34" charset="0"/>
                  <a:ea typeface="Segoe UI Black" panose="020B0A02040204020203" pitchFamily="34" charset="0"/>
                  <a:cs typeface="Segoe UI" panose="020B0502040204020203" pitchFamily="34" charset="0"/>
                </a:rPr>
                <a:pPr marL="0" indent="0" algn="ctr"/>
                <a:t>135 Mins</a:t>
              </a:fld>
              <a:endParaRPr lang="en-IN" sz="900" b="1" i="0" u="none" strike="noStrike">
                <a:solidFill>
                  <a:srgbClr val="FFCACA"/>
                </a:solidFill>
                <a:latin typeface="Segoe UI" panose="020B0502040204020203" pitchFamily="34" charset="0"/>
                <a:ea typeface="Segoe UI Black" panose="020B0A02040204020203" pitchFamily="34" charset="0"/>
                <a:cs typeface="Segoe UI" panose="020B0502040204020203" pitchFamily="34" charset="0"/>
              </a:endParaRPr>
            </a:p>
          </xdr:txBody>
        </xdr:sp>
      </xdr:grpSp>
      <xdr:cxnSp macro="">
        <xdr:nvCxnSpPr>
          <xdr:cNvPr id="62" name="Straight Connector 61">
            <a:extLst>
              <a:ext uri="{FF2B5EF4-FFF2-40B4-BE49-F238E27FC236}">
                <a16:creationId xmlns:a16="http://schemas.microsoft.com/office/drawing/2014/main" id="{2F0A2D6B-CBAB-4016-861A-BFF8AD90A097}"/>
              </a:ext>
            </a:extLst>
          </xdr:cNvPr>
          <xdr:cNvCxnSpPr/>
        </xdr:nvCxnSpPr>
        <xdr:spPr>
          <a:xfrm flipV="1">
            <a:off x="690568" y="2025046"/>
            <a:ext cx="973445" cy="0"/>
          </a:xfrm>
          <a:prstGeom prst="line">
            <a:avLst/>
          </a:prstGeom>
          <a:ln w="12700" cap="flat" cmpd="sng" algn="ctr">
            <a:solidFill>
              <a:srgbClr val="FFCACA"/>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xnSp macro="">
        <xdr:nvCxnSpPr>
          <xdr:cNvPr id="63" name="Straight Connector 62">
            <a:extLst>
              <a:ext uri="{FF2B5EF4-FFF2-40B4-BE49-F238E27FC236}">
                <a16:creationId xmlns:a16="http://schemas.microsoft.com/office/drawing/2014/main" id="{C0C162F1-14EA-43D3-A7AF-C2618D9804DF}"/>
              </a:ext>
            </a:extLst>
          </xdr:cNvPr>
          <xdr:cNvCxnSpPr/>
        </xdr:nvCxnSpPr>
        <xdr:spPr>
          <a:xfrm flipV="1">
            <a:off x="690568" y="2840386"/>
            <a:ext cx="973445" cy="0"/>
          </a:xfrm>
          <a:prstGeom prst="line">
            <a:avLst/>
          </a:prstGeom>
          <a:ln w="12700" cap="flat" cmpd="sng" algn="ctr">
            <a:solidFill>
              <a:srgbClr val="FFCACA"/>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xnSp macro="">
        <xdr:nvCxnSpPr>
          <xdr:cNvPr id="64" name="Straight Connector 63">
            <a:extLst>
              <a:ext uri="{FF2B5EF4-FFF2-40B4-BE49-F238E27FC236}">
                <a16:creationId xmlns:a16="http://schemas.microsoft.com/office/drawing/2014/main" id="{AAF34FD5-B74D-4893-8D50-BE1D2E4096B0}"/>
              </a:ext>
            </a:extLst>
          </xdr:cNvPr>
          <xdr:cNvCxnSpPr/>
        </xdr:nvCxnSpPr>
        <xdr:spPr>
          <a:xfrm flipV="1">
            <a:off x="690568" y="3541426"/>
            <a:ext cx="973445" cy="0"/>
          </a:xfrm>
          <a:prstGeom prst="line">
            <a:avLst/>
          </a:prstGeom>
          <a:ln w="12700" cap="flat" cmpd="sng" algn="ctr">
            <a:solidFill>
              <a:srgbClr val="FFCACA"/>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pic>
        <xdr:nvPicPr>
          <xdr:cNvPr id="66" name="Graphic 65" descr="Single gear with solid fill">
            <a:hlinkClick xmlns:r="http://schemas.openxmlformats.org/officeDocument/2006/relationships" r:id="rId9"/>
            <a:extLst>
              <a:ext uri="{FF2B5EF4-FFF2-40B4-BE49-F238E27FC236}">
                <a16:creationId xmlns:a16="http://schemas.microsoft.com/office/drawing/2014/main" id="{49A35376-A27F-5667-F0FB-83FF54BB645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658706" y="4339589"/>
            <a:ext cx="373380" cy="373380"/>
          </a:xfrm>
          <a:prstGeom prst="rect">
            <a:avLst/>
          </a:prstGeom>
          <a:effectLst>
            <a:outerShdw blurRad="63500" sx="102000" sy="102000" algn="ctr" rotWithShape="0">
              <a:prstClr val="black">
                <a:alpha val="40000"/>
              </a:prstClr>
            </a:outerShdw>
          </a:effectLst>
        </xdr:spPr>
      </xdr:pic>
      <xdr:pic>
        <xdr:nvPicPr>
          <xdr:cNvPr id="68" name="Graphic 67" descr="Document with solid fill">
            <a:hlinkClick xmlns:r="http://schemas.openxmlformats.org/officeDocument/2006/relationships" r:id="rId12"/>
            <a:extLst>
              <a:ext uri="{FF2B5EF4-FFF2-40B4-BE49-F238E27FC236}">
                <a16:creationId xmlns:a16="http://schemas.microsoft.com/office/drawing/2014/main" id="{323CA486-8270-573A-1AEF-3678CB16BB1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74142" y="4377689"/>
            <a:ext cx="297180" cy="297180"/>
          </a:xfrm>
          <a:prstGeom prst="rect">
            <a:avLst/>
          </a:prstGeom>
          <a:effectLst>
            <a:outerShdw blurRad="63500" sx="102000" sy="102000" algn="ctr" rotWithShape="0">
              <a:prstClr val="black">
                <a:alpha val="40000"/>
              </a:prstClr>
            </a:outerShdw>
          </a:effectLst>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isH Gangula" refreshedDate="45969.523115856478" createdVersion="8" refreshedVersion="8" minRefreshableVersion="3" recordCount="50" xr:uid="{923D3F22-3E1D-4954-9920-1DDDC28740AD}">
  <cacheSource type="worksheet">
    <worksheetSource name="Table1"/>
  </cacheSource>
  <cacheFields count="7">
    <cacheField name="Name" numFmtId="0">
      <sharedItems count="50">
        <s v="Casablanca "/>
        <s v="Psycho "/>
        <s v="The Godfather "/>
        <s v="Star Wars: Episode IV - A New Hope "/>
        <s v="E.T. the Extra-Terrestrial "/>
        <s v="Terminator 2: Judgment Day "/>
        <s v="Forrest Gump "/>
        <s v="Titanic "/>
        <s v="The Matrix "/>
        <s v="Gladiator "/>
        <s v="The Lord of the Rings: The Fellowship of the Ring "/>
        <s v="Spirited Away "/>
        <s v="The Dark Knight "/>
        <s v="Inception "/>
        <s v="The Avengers "/>
        <s v="Django Unchained "/>
        <s v="Frozen "/>
        <s v="Interstellar "/>
        <s v="The Martian "/>
        <s v="La La Land "/>
        <s v="Get Out "/>
        <s v="The Shape of Water "/>
        <s v="Black Panther "/>
        <s v="Joker "/>
        <s v="Parasite "/>
        <s v="The Shawshank Redemption "/>
        <s v="Pulp Fiction "/>
        <s v="Schindler's List "/>
        <s v="The Silence of the Lambs "/>
        <s v="The Green Mile "/>
        <s v="Fight Club "/>
        <s v="The Prestige "/>
        <s v="The Departed "/>
        <s v="No Country for Old Men "/>
        <s v="Slumdog Millionaire "/>
        <s v="The Social Network "/>
        <s v="The Grand Budapest Hotel "/>
        <s v="Whiplash "/>
        <s v="Birdman or (The Unexpected Virtue of Ignorance) "/>
        <s v="Spotlight "/>
        <s v="Moonlight "/>
        <s v="Three Billboards Outside Ebbing, Missouri "/>
        <s v="Roma "/>
        <s v="Once Upon a Time in Hollywood "/>
        <s v="1917 "/>
        <s v="Dunkirk "/>
        <s v="The Revenant "/>
        <s v="Arrival "/>
        <s v="Her "/>
        <s v="Gone Girl "/>
      </sharedItems>
    </cacheField>
    <cacheField name="Year" numFmtId="0">
      <sharedItems containsSemiMixedTypes="0" containsString="0" containsNumber="1" containsInteger="1" minValue="1942" maxValue="2019" count="24">
        <n v="1942"/>
        <n v="1960"/>
        <n v="1972"/>
        <n v="1977"/>
        <n v="1982"/>
        <n v="1991"/>
        <n v="1994"/>
        <n v="1997"/>
        <n v="1999"/>
        <n v="2000"/>
        <n v="2001"/>
        <n v="2008"/>
        <n v="2010"/>
        <n v="2012"/>
        <n v="2013"/>
        <n v="2014"/>
        <n v="2015"/>
        <n v="2016"/>
        <n v="2017"/>
        <n v="2018"/>
        <n v="2019"/>
        <n v="1993"/>
        <n v="2006"/>
        <n v="2007"/>
      </sharedItems>
    </cacheField>
    <cacheField name="Age Rating" numFmtId="0">
      <sharedItems count="3">
        <s v=" PG "/>
        <s v=" R "/>
        <s v=" PG-13 "/>
      </sharedItems>
    </cacheField>
    <cacheField name="Duration" numFmtId="0">
      <sharedItems containsSemiMixedTypes="0" containsString="0" containsNumber="1" containsInteger="1" minValue="99" maxValue="195"/>
    </cacheField>
    <cacheField name="Category" numFmtId="0">
      <sharedItems count="21">
        <s v=" Drama/Romance "/>
        <s v=" Horror/Thriller "/>
        <s v=" Crime/Drama "/>
        <s v=" Action/Adventure "/>
        <s v=" Family/Sci-Fi "/>
        <s v=" Action/Sci-Fi "/>
        <s v=" Action/Drama "/>
        <s v=" Adventure/Drama "/>
        <s v=" Animation/Adventure "/>
        <s v=" Action/Crime "/>
        <s v=" Drama/Western "/>
        <s v=" Adventure/Sci-Fi "/>
        <s v=" Comedy/Drama "/>
        <s v=" Horror/Mystery "/>
        <s v=" Drama "/>
        <s v=" Biography/Drama "/>
        <s v=" Drama/Mystery "/>
        <s v=" Adventure/Comedy "/>
        <s v=" Drama/Music "/>
        <s v=" Drama/War "/>
        <s v=" Drama/Sci-Fi "/>
      </sharedItems>
    </cacheField>
    <cacheField name="IMDb Rating" numFmtId="0">
      <sharedItems containsSemiMixedTypes="0" containsString="0" containsNumber="1" minValue="7.3" maxValue="9.3000000000000007"/>
    </cacheField>
    <cacheField name="Rating Range" numFmtId="0">
      <sharedItems count="3">
        <s v="8 - 8.9"/>
        <s v="9+"/>
        <s v="7-7.9"/>
      </sharedItems>
    </cacheField>
  </cacheFields>
  <extLst>
    <ext xmlns:x14="http://schemas.microsoft.com/office/spreadsheetml/2009/9/main" uri="{725AE2AE-9491-48be-B2B4-4EB974FC3084}">
      <x14:pivotCacheDefinition pivotCacheId="14889195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n v="102"/>
    <x v="0"/>
    <n v="8.5"/>
    <x v="0"/>
  </r>
  <r>
    <x v="1"/>
    <x v="1"/>
    <x v="1"/>
    <n v="109"/>
    <x v="1"/>
    <n v="8.5"/>
    <x v="0"/>
  </r>
  <r>
    <x v="2"/>
    <x v="2"/>
    <x v="1"/>
    <n v="175"/>
    <x v="2"/>
    <n v="9.1999999999999993"/>
    <x v="1"/>
  </r>
  <r>
    <x v="3"/>
    <x v="3"/>
    <x v="0"/>
    <n v="121"/>
    <x v="3"/>
    <n v="8.6"/>
    <x v="0"/>
  </r>
  <r>
    <x v="4"/>
    <x v="4"/>
    <x v="0"/>
    <n v="115"/>
    <x v="4"/>
    <n v="7.8"/>
    <x v="2"/>
  </r>
  <r>
    <x v="5"/>
    <x v="5"/>
    <x v="1"/>
    <n v="137"/>
    <x v="5"/>
    <n v="8.5"/>
    <x v="0"/>
  </r>
  <r>
    <x v="6"/>
    <x v="6"/>
    <x v="2"/>
    <n v="142"/>
    <x v="0"/>
    <n v="8.8000000000000007"/>
    <x v="0"/>
  </r>
  <r>
    <x v="7"/>
    <x v="7"/>
    <x v="2"/>
    <n v="195"/>
    <x v="0"/>
    <n v="7.8"/>
    <x v="2"/>
  </r>
  <r>
    <x v="8"/>
    <x v="8"/>
    <x v="1"/>
    <n v="136"/>
    <x v="5"/>
    <n v="8.6999999999999993"/>
    <x v="0"/>
  </r>
  <r>
    <x v="9"/>
    <x v="9"/>
    <x v="1"/>
    <n v="155"/>
    <x v="6"/>
    <n v="8.5"/>
    <x v="0"/>
  </r>
  <r>
    <x v="10"/>
    <x v="10"/>
    <x v="2"/>
    <n v="178"/>
    <x v="7"/>
    <n v="8.8000000000000007"/>
    <x v="0"/>
  </r>
  <r>
    <x v="11"/>
    <x v="10"/>
    <x v="0"/>
    <n v="125"/>
    <x v="8"/>
    <n v="8.6"/>
    <x v="0"/>
  </r>
  <r>
    <x v="12"/>
    <x v="11"/>
    <x v="2"/>
    <n v="152"/>
    <x v="9"/>
    <n v="9"/>
    <x v="1"/>
  </r>
  <r>
    <x v="13"/>
    <x v="12"/>
    <x v="2"/>
    <n v="148"/>
    <x v="3"/>
    <n v="8.8000000000000007"/>
    <x v="0"/>
  </r>
  <r>
    <x v="14"/>
    <x v="13"/>
    <x v="2"/>
    <n v="143"/>
    <x v="3"/>
    <n v="8"/>
    <x v="0"/>
  </r>
  <r>
    <x v="15"/>
    <x v="13"/>
    <x v="1"/>
    <n v="165"/>
    <x v="10"/>
    <n v="8.4"/>
    <x v="0"/>
  </r>
  <r>
    <x v="16"/>
    <x v="14"/>
    <x v="0"/>
    <n v="102"/>
    <x v="8"/>
    <n v="7.4"/>
    <x v="2"/>
  </r>
  <r>
    <x v="17"/>
    <x v="15"/>
    <x v="2"/>
    <n v="169"/>
    <x v="7"/>
    <n v="8.6"/>
    <x v="0"/>
  </r>
  <r>
    <x v="18"/>
    <x v="16"/>
    <x v="2"/>
    <n v="144"/>
    <x v="11"/>
    <n v="8"/>
    <x v="0"/>
  </r>
  <r>
    <x v="19"/>
    <x v="17"/>
    <x v="2"/>
    <n v="128"/>
    <x v="12"/>
    <n v="8"/>
    <x v="0"/>
  </r>
  <r>
    <x v="20"/>
    <x v="18"/>
    <x v="1"/>
    <n v="104"/>
    <x v="13"/>
    <n v="7.7"/>
    <x v="2"/>
  </r>
  <r>
    <x v="21"/>
    <x v="18"/>
    <x v="1"/>
    <n v="123"/>
    <x v="7"/>
    <n v="7.3"/>
    <x v="2"/>
  </r>
  <r>
    <x v="22"/>
    <x v="19"/>
    <x v="2"/>
    <n v="134"/>
    <x v="3"/>
    <n v="7.3"/>
    <x v="2"/>
  </r>
  <r>
    <x v="23"/>
    <x v="20"/>
    <x v="1"/>
    <n v="122"/>
    <x v="2"/>
    <n v="8.4"/>
    <x v="0"/>
  </r>
  <r>
    <x v="24"/>
    <x v="20"/>
    <x v="1"/>
    <n v="132"/>
    <x v="12"/>
    <n v="8.6"/>
    <x v="0"/>
  </r>
  <r>
    <x v="25"/>
    <x v="6"/>
    <x v="1"/>
    <n v="142"/>
    <x v="14"/>
    <n v="9.3000000000000007"/>
    <x v="1"/>
  </r>
  <r>
    <x v="26"/>
    <x v="6"/>
    <x v="1"/>
    <n v="154"/>
    <x v="2"/>
    <n v="8.9"/>
    <x v="0"/>
  </r>
  <r>
    <x v="27"/>
    <x v="21"/>
    <x v="1"/>
    <n v="195"/>
    <x v="15"/>
    <n v="8.9"/>
    <x v="0"/>
  </r>
  <r>
    <x v="28"/>
    <x v="5"/>
    <x v="1"/>
    <n v="118"/>
    <x v="2"/>
    <n v="8.6"/>
    <x v="0"/>
  </r>
  <r>
    <x v="29"/>
    <x v="8"/>
    <x v="1"/>
    <n v="189"/>
    <x v="2"/>
    <n v="8.6"/>
    <x v="0"/>
  </r>
  <r>
    <x v="30"/>
    <x v="8"/>
    <x v="1"/>
    <n v="139"/>
    <x v="14"/>
    <n v="8.8000000000000007"/>
    <x v="0"/>
  </r>
  <r>
    <x v="31"/>
    <x v="22"/>
    <x v="2"/>
    <n v="130"/>
    <x v="16"/>
    <n v="8.5"/>
    <x v="0"/>
  </r>
  <r>
    <x v="32"/>
    <x v="22"/>
    <x v="1"/>
    <n v="151"/>
    <x v="2"/>
    <n v="8.5"/>
    <x v="0"/>
  </r>
  <r>
    <x v="33"/>
    <x v="23"/>
    <x v="1"/>
    <n v="122"/>
    <x v="2"/>
    <n v="8.1"/>
    <x v="0"/>
  </r>
  <r>
    <x v="34"/>
    <x v="11"/>
    <x v="1"/>
    <n v="120"/>
    <x v="0"/>
    <n v="8"/>
    <x v="0"/>
  </r>
  <r>
    <x v="35"/>
    <x v="12"/>
    <x v="2"/>
    <n v="120"/>
    <x v="15"/>
    <n v="7.7"/>
    <x v="2"/>
  </r>
  <r>
    <x v="36"/>
    <x v="15"/>
    <x v="1"/>
    <n v="99"/>
    <x v="17"/>
    <n v="8.1"/>
    <x v="0"/>
  </r>
  <r>
    <x v="37"/>
    <x v="15"/>
    <x v="1"/>
    <n v="106"/>
    <x v="18"/>
    <n v="8.5"/>
    <x v="0"/>
  </r>
  <r>
    <x v="38"/>
    <x v="15"/>
    <x v="1"/>
    <n v="119"/>
    <x v="12"/>
    <n v="7.7"/>
    <x v="2"/>
  </r>
  <r>
    <x v="39"/>
    <x v="16"/>
    <x v="1"/>
    <n v="129"/>
    <x v="2"/>
    <n v="8.1"/>
    <x v="0"/>
  </r>
  <r>
    <x v="40"/>
    <x v="17"/>
    <x v="1"/>
    <n v="111"/>
    <x v="14"/>
    <n v="7.4"/>
    <x v="2"/>
  </r>
  <r>
    <x v="41"/>
    <x v="18"/>
    <x v="1"/>
    <n v="115"/>
    <x v="2"/>
    <n v="8.1999999999999993"/>
    <x v="0"/>
  </r>
  <r>
    <x v="42"/>
    <x v="19"/>
    <x v="1"/>
    <n v="135"/>
    <x v="14"/>
    <n v="7.7"/>
    <x v="2"/>
  </r>
  <r>
    <x v="43"/>
    <x v="20"/>
    <x v="1"/>
    <n v="161"/>
    <x v="12"/>
    <n v="7.6"/>
    <x v="2"/>
  </r>
  <r>
    <x v="44"/>
    <x v="20"/>
    <x v="1"/>
    <n v="119"/>
    <x v="19"/>
    <n v="8.3000000000000007"/>
    <x v="0"/>
  </r>
  <r>
    <x v="45"/>
    <x v="18"/>
    <x v="2"/>
    <n v="106"/>
    <x v="6"/>
    <n v="7.8"/>
    <x v="2"/>
  </r>
  <r>
    <x v="46"/>
    <x v="16"/>
    <x v="1"/>
    <n v="156"/>
    <x v="3"/>
    <n v="8"/>
    <x v="0"/>
  </r>
  <r>
    <x v="47"/>
    <x v="17"/>
    <x v="2"/>
    <n v="116"/>
    <x v="20"/>
    <n v="7.9"/>
    <x v="2"/>
  </r>
  <r>
    <x v="48"/>
    <x v="14"/>
    <x v="1"/>
    <n v="126"/>
    <x v="0"/>
    <n v="8"/>
    <x v="0"/>
  </r>
  <r>
    <x v="49"/>
    <x v="15"/>
    <x v="1"/>
    <n v="149"/>
    <x v="16"/>
    <n v="8.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214055-283B-4697-87ED-1D1043E1BA7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A99:B116" firstHeaderRow="1" firstDataRow="1" firstDataCol="1"/>
  <pivotFields count="7">
    <pivotField showAll="0"/>
    <pivotField showAll="0"/>
    <pivotField showAll="0">
      <items count="4">
        <item h="1" x="0"/>
        <item h="1" x="2"/>
        <item x="1"/>
        <item t="default"/>
      </items>
    </pivotField>
    <pivotField showAll="0"/>
    <pivotField axis="axisRow" dataField="1" showAll="0" sortType="descending">
      <items count="22">
        <item x="3"/>
        <item x="9"/>
        <item x="6"/>
        <item x="5"/>
        <item x="17"/>
        <item x="7"/>
        <item x="11"/>
        <item x="8"/>
        <item x="15"/>
        <item x="12"/>
        <item x="2"/>
        <item x="14"/>
        <item x="18"/>
        <item x="16"/>
        <item x="0"/>
        <item x="20"/>
        <item x="19"/>
        <item x="10"/>
        <item x="4"/>
        <item x="13"/>
        <item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4"/>
  </rowFields>
  <rowItems count="17">
    <i>
      <x v="10"/>
    </i>
    <i>
      <x v="11"/>
    </i>
    <i>
      <x v="9"/>
    </i>
    <i>
      <x v="14"/>
    </i>
    <i>
      <x v="3"/>
    </i>
    <i>
      <x v="16"/>
    </i>
    <i>
      <x v="13"/>
    </i>
    <i>
      <x v="19"/>
    </i>
    <i>
      <x v="4"/>
    </i>
    <i>
      <x v="5"/>
    </i>
    <i>
      <x/>
    </i>
    <i>
      <x v="17"/>
    </i>
    <i>
      <x v="20"/>
    </i>
    <i>
      <x v="8"/>
    </i>
    <i>
      <x v="12"/>
    </i>
    <i>
      <x v="2"/>
    </i>
    <i t="grand">
      <x/>
    </i>
  </rowItems>
  <colItems count="1">
    <i/>
  </colItems>
  <dataFields count="1">
    <dataField name="Count of Category" fld="4" subtotal="count" baseField="4" baseItem="2"/>
  </dataFields>
  <formats count="6">
    <format dxfId="149">
      <pivotArea type="all" dataOnly="0" outline="0" fieldPosition="0"/>
    </format>
    <format dxfId="148">
      <pivotArea outline="0" collapsedLevelsAreSubtotals="1" fieldPosition="0"/>
    </format>
    <format dxfId="147">
      <pivotArea field="4" type="button" dataOnly="0" labelOnly="1" outline="0" axis="axisRow" fieldPosition="0"/>
    </format>
    <format dxfId="146">
      <pivotArea dataOnly="0" labelOnly="1" fieldPosition="0">
        <references count="1">
          <reference field="4" count="0"/>
        </references>
      </pivotArea>
    </format>
    <format dxfId="145">
      <pivotArea dataOnly="0" labelOnly="1" grandRow="1" outline="0" fieldPosition="0"/>
    </format>
    <format dxfId="1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30A240-A9A6-4779-AE87-FE50293892F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9:A190" firstHeaderRow="1" firstDataRow="1" firstDataCol="0"/>
  <pivotFields count="7">
    <pivotField showAll="0"/>
    <pivotField showAll="0"/>
    <pivotField showAll="0">
      <items count="4">
        <item h="1" x="0"/>
        <item h="1" x="2"/>
        <item x="1"/>
        <item t="default"/>
      </items>
    </pivotField>
    <pivotField dataField="1" showAll="0"/>
    <pivotField showAll="0"/>
    <pivotField showAll="0"/>
    <pivotField showAll="0"/>
  </pivotFields>
  <rowItems count="1">
    <i/>
  </rowItems>
  <colItems count="1">
    <i/>
  </colItems>
  <dataFields count="1">
    <dataField name="Average of Duration" fld="3" subtotal="average" baseField="0" baseItem="0" numFmtId="1"/>
  </dataFields>
  <formats count="4">
    <format dxfId="153">
      <pivotArea outline="0" collapsedLevelsAreSubtotals="1" fieldPosition="0"/>
    </format>
    <format dxfId="152">
      <pivotArea type="all" dataOnly="0" outline="0" fieldPosition="0"/>
    </format>
    <format dxfId="151">
      <pivotArea outline="0" collapsedLevelsAreSubtotals="1" fieldPosition="0"/>
    </format>
    <format dxfId="1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8E4D2B-4055-47EF-8D38-598B5EE8EB3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40:B44" firstHeaderRow="1" firstDataRow="1" firstDataCol="1"/>
  <pivotFields count="7">
    <pivotField dataField="1" showAll="0"/>
    <pivotField showAll="0"/>
    <pivotField showAll="0">
      <items count="4">
        <item x="0"/>
        <item x="2"/>
        <item x="1"/>
        <item t="default"/>
      </items>
    </pivotField>
    <pivotField showAll="0"/>
    <pivotField showAll="0"/>
    <pivotField showAll="0"/>
    <pivotField axis="axisRow" showAll="0">
      <items count="4">
        <item x="2"/>
        <item x="0"/>
        <item x="1"/>
        <item t="default"/>
      </items>
    </pivotField>
  </pivotFields>
  <rowFields count="1">
    <field x="6"/>
  </rowFields>
  <rowItems count="4">
    <i>
      <x/>
    </i>
    <i>
      <x v="1"/>
    </i>
    <i>
      <x v="2"/>
    </i>
    <i t="grand">
      <x/>
    </i>
  </rowItems>
  <colItems count="1">
    <i/>
  </colItems>
  <dataFields count="1">
    <dataField name="Count of Name" fld="0" subtotal="count" baseField="0" baseItem="0"/>
  </dataFields>
  <formats count="5">
    <format dxfId="158">
      <pivotArea type="all" dataOnly="0" outline="0" fieldPosition="0"/>
    </format>
    <format dxfId="157">
      <pivotArea outline="0" collapsedLevelsAreSubtotals="1" fieldPosition="0"/>
    </format>
    <format dxfId="156">
      <pivotArea field="2" type="button" dataOnly="0" labelOnly="1" outline="0"/>
    </format>
    <format dxfId="155">
      <pivotArea dataOnly="0" labelOnly="1" grandRow="1" outline="0" fieldPosition="0"/>
    </format>
    <format dxfId="154">
      <pivotArea dataOnly="0" labelOnly="1" outline="0" axis="axisValues" fieldPosition="0"/>
    </format>
  </formats>
  <chartFormats count="8">
    <chartFormat chart="17" format="10"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6" count="1" selected="0">
            <x v="1"/>
          </reference>
        </references>
      </pivotArea>
    </chartFormat>
    <chartFormat chart="17" format="15">
      <pivotArea type="data" outline="0" fieldPosition="0">
        <references count="2">
          <reference field="4294967294" count="1" selected="0">
            <x v="0"/>
          </reference>
          <reference field="6" count="1" selected="0">
            <x v="0"/>
          </reference>
        </references>
      </pivotArea>
    </chartFormat>
    <chartFormat chart="17" format="16">
      <pivotArea type="data" outline="0" fieldPosition="0">
        <references count="2">
          <reference field="4294967294" count="1" selected="0">
            <x v="0"/>
          </reference>
          <reference field="6" count="1" selected="0">
            <x v="2"/>
          </reference>
        </references>
      </pivotArea>
    </chartFormat>
    <chartFormat chart="13" format="12">
      <pivotArea type="data" outline="0" fieldPosition="0">
        <references count="2">
          <reference field="4294967294" count="1" selected="0">
            <x v="0"/>
          </reference>
          <reference field="6" count="1" selected="0">
            <x v="0"/>
          </reference>
        </references>
      </pivotArea>
    </chartFormat>
    <chartFormat chart="13" format="13">
      <pivotArea type="data" outline="0" fieldPosition="0">
        <references count="2">
          <reference field="4294967294" count="1" selected="0">
            <x v="0"/>
          </reference>
          <reference field="6" count="1" selected="0">
            <x v="1"/>
          </reference>
        </references>
      </pivotArea>
    </chartFormat>
    <chartFormat chart="13" format="1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E8ADC1-232D-449D-9F3B-089A9B7F925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A63:C70" firstHeaderRow="0" firstDataRow="1" firstDataCol="1"/>
  <pivotFields count="7">
    <pivotField dataField="1" showAll="0"/>
    <pivotField showAll="0"/>
    <pivotField showAll="0">
      <items count="4">
        <item h="1" x="0"/>
        <item h="1" x="2"/>
        <item x="1"/>
        <item t="default"/>
      </items>
    </pivotField>
    <pivotField showAll="0"/>
    <pivotField axis="axisRow" showAll="0" measureFilter="1">
      <items count="22">
        <item x="3"/>
        <item x="9"/>
        <item x="6"/>
        <item x="5"/>
        <item x="17"/>
        <item x="7"/>
        <item x="11"/>
        <item x="8"/>
        <item x="15"/>
        <item x="12"/>
        <item x="2"/>
        <item x="14"/>
        <item x="18"/>
        <item x="16"/>
        <item x="0"/>
        <item x="20"/>
        <item x="19"/>
        <item x="10"/>
        <item x="4"/>
        <item x="13"/>
        <item x="1"/>
        <item t="default"/>
      </items>
    </pivotField>
    <pivotField dataField="1" showAll="0"/>
    <pivotField showAll="0"/>
  </pivotFields>
  <rowFields count="1">
    <field x="4"/>
  </rowFields>
  <rowItems count="7">
    <i>
      <x v="2"/>
    </i>
    <i>
      <x v="3"/>
    </i>
    <i>
      <x v="8"/>
    </i>
    <i>
      <x v="10"/>
    </i>
    <i>
      <x v="12"/>
    </i>
    <i>
      <x v="20"/>
    </i>
    <i t="grand">
      <x/>
    </i>
  </rowItems>
  <colFields count="1">
    <field x="-2"/>
  </colFields>
  <colItems count="2">
    <i>
      <x/>
    </i>
    <i i="1">
      <x v="1"/>
    </i>
  </colItems>
  <dataFields count="2">
    <dataField name="Count of Name" fld="0" subtotal="count" baseField="0" baseItem="0"/>
    <dataField name="Average of IMDb Rating" fld="5" subtotal="average" baseField="4" baseItem="0" numFmtId="2"/>
  </dataFields>
  <formats count="6">
    <format dxfId="164">
      <pivotArea type="all" dataOnly="0" outline="0" fieldPosition="0"/>
    </format>
    <format dxfId="163">
      <pivotArea outline="0" collapsedLevelsAreSubtotals="1" fieldPosition="0"/>
    </format>
    <format dxfId="162">
      <pivotArea field="4" type="button" dataOnly="0" labelOnly="1" outline="0" axis="axisRow" fieldPosition="0"/>
    </format>
    <format dxfId="161">
      <pivotArea dataOnly="0" labelOnly="1" fieldPosition="0">
        <references count="1">
          <reference field="4" count="5">
            <x v="1"/>
            <x v="3"/>
            <x v="10"/>
            <x v="12"/>
            <x v="20"/>
          </reference>
        </references>
      </pivotArea>
    </format>
    <format dxfId="160">
      <pivotArea dataOnly="0" labelOnly="1" grandRow="1" outline="0" fieldPosition="0"/>
    </format>
    <format dxfId="159">
      <pivotArea dataOnly="0" labelOnly="1" outline="0" fieldPosition="0">
        <references count="1">
          <reference field="4294967294" count="2">
            <x v="0"/>
            <x v="1"/>
          </reference>
        </references>
      </pivotArea>
    </format>
  </formats>
  <chartFormats count="4">
    <chartFormat chart="41" format="0" series="1">
      <pivotArea type="data" outline="0" fieldPosition="0">
        <references count="1">
          <reference field="4294967294" count="1" selected="0">
            <x v="1"/>
          </reference>
        </references>
      </pivotArea>
    </chartFormat>
    <chartFormat chart="41" format="1" series="1">
      <pivotArea type="data" outline="0" fieldPosition="0">
        <references count="1">
          <reference field="4294967294" count="1" selected="0">
            <x v="0"/>
          </reference>
        </references>
      </pivotArea>
    </chartFormat>
    <chartFormat chart="47" format="4"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2"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E7D564-62D5-4F5C-B8A8-50A2F7E7A2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1:B30" firstHeaderRow="1" firstDataRow="1" firstDataCol="1"/>
  <pivotFields count="7">
    <pivotField dataField="1" showAll="0"/>
    <pivotField axis="axisRow" showAll="0">
      <items count="25">
        <item x="0"/>
        <item x="1"/>
        <item x="2"/>
        <item x="3"/>
        <item x="4"/>
        <item x="5"/>
        <item x="21"/>
        <item x="6"/>
        <item x="7"/>
        <item x="8"/>
        <item x="9"/>
        <item x="10"/>
        <item x="22"/>
        <item x="23"/>
        <item x="11"/>
        <item x="12"/>
        <item x="13"/>
        <item x="14"/>
        <item x="15"/>
        <item x="16"/>
        <item x="17"/>
        <item x="18"/>
        <item x="19"/>
        <item x="20"/>
        <item t="default"/>
      </items>
    </pivotField>
    <pivotField showAll="0">
      <items count="4">
        <item h="1" x="0"/>
        <item h="1" x="2"/>
        <item x="1"/>
        <item t="default"/>
      </items>
    </pivotField>
    <pivotField showAll="0"/>
    <pivotField showAll="0"/>
    <pivotField showAll="0"/>
    <pivotField showAll="0"/>
  </pivotFields>
  <rowFields count="1">
    <field x="1"/>
  </rowFields>
  <rowItems count="19">
    <i>
      <x v="1"/>
    </i>
    <i>
      <x v="2"/>
    </i>
    <i>
      <x v="5"/>
    </i>
    <i>
      <x v="6"/>
    </i>
    <i>
      <x v="7"/>
    </i>
    <i>
      <x v="9"/>
    </i>
    <i>
      <x v="10"/>
    </i>
    <i>
      <x v="12"/>
    </i>
    <i>
      <x v="13"/>
    </i>
    <i>
      <x v="14"/>
    </i>
    <i>
      <x v="16"/>
    </i>
    <i>
      <x v="17"/>
    </i>
    <i>
      <x v="18"/>
    </i>
    <i>
      <x v="19"/>
    </i>
    <i>
      <x v="20"/>
    </i>
    <i>
      <x v="21"/>
    </i>
    <i>
      <x v="22"/>
    </i>
    <i>
      <x v="23"/>
    </i>
    <i t="grand">
      <x/>
    </i>
  </rowItems>
  <colItems count="1">
    <i/>
  </colItems>
  <dataFields count="1">
    <dataField name="Count of Name" fld="0" subtotal="count" baseField="0" baseItem="0"/>
  </dataFields>
  <formats count="6">
    <format dxfId="170">
      <pivotArea type="all" dataOnly="0" outline="0" fieldPosition="0"/>
    </format>
    <format dxfId="169">
      <pivotArea outline="0" collapsedLevelsAreSubtotals="1" fieldPosition="0"/>
    </format>
    <format dxfId="168">
      <pivotArea field="1" type="button" dataOnly="0" labelOnly="1" outline="0" axis="axisRow" fieldPosition="0"/>
    </format>
    <format dxfId="167">
      <pivotArea dataOnly="0" labelOnly="1" fieldPosition="0">
        <references count="1">
          <reference field="1" count="0"/>
        </references>
      </pivotArea>
    </format>
    <format dxfId="166">
      <pivotArea dataOnly="0" labelOnly="1" grandRow="1" outline="0" fieldPosition="0"/>
    </format>
    <format dxfId="165">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170DB0-92A0-439A-86DF-3939E2F8CB4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51:B55" firstHeaderRow="1" firstDataRow="1" firstDataCol="1"/>
  <pivotFields count="7">
    <pivotField dataField="1" showAll="0"/>
    <pivotField showAll="0"/>
    <pivotField axis="axisRow" showAll="0">
      <items count="4">
        <item x="0"/>
        <item x="2"/>
        <item x="1"/>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Count of Name" fld="0" subtotal="count" baseField="0" baseItem="0"/>
  </dataFields>
  <formats count="6">
    <format dxfId="176">
      <pivotArea type="all" dataOnly="0" outline="0" fieldPosition="0"/>
    </format>
    <format dxfId="175">
      <pivotArea outline="0" collapsedLevelsAreSubtotals="1" fieldPosition="0"/>
    </format>
    <format dxfId="174">
      <pivotArea field="2" type="button" dataOnly="0" labelOnly="1" outline="0" axis="axisRow" fieldPosition="0"/>
    </format>
    <format dxfId="173">
      <pivotArea dataOnly="0" labelOnly="1" fieldPosition="0">
        <references count="1">
          <reference field="2" count="0"/>
        </references>
      </pivotArea>
    </format>
    <format dxfId="172">
      <pivotArea dataOnly="0" labelOnly="1" grandRow="1" outline="0" fieldPosition="0"/>
    </format>
    <format dxfId="171">
      <pivotArea dataOnly="0" labelOnly="1" outline="0" axis="axisValues" fieldPosition="0"/>
    </format>
  </formats>
  <chartFormats count="8">
    <chartFormat chart="32" format="0" series="1">
      <pivotArea type="data" outline="0" fieldPosition="0">
        <references count="1">
          <reference field="4294967294" count="1" selected="0">
            <x v="0"/>
          </reference>
        </references>
      </pivotArea>
    </chartFormat>
    <chartFormat chart="32" format="1">
      <pivotArea type="data" outline="0" fieldPosition="0">
        <references count="2">
          <reference field="4294967294" count="1" selected="0">
            <x v="0"/>
          </reference>
          <reference field="2" count="1" selected="0">
            <x v="0"/>
          </reference>
        </references>
      </pivotArea>
    </chartFormat>
    <chartFormat chart="32" format="2">
      <pivotArea type="data" outline="0" fieldPosition="0">
        <references count="2">
          <reference field="4294967294" count="1" selected="0">
            <x v="0"/>
          </reference>
          <reference field="2" count="1" selected="0">
            <x v="1"/>
          </reference>
        </references>
      </pivotArea>
    </chartFormat>
    <chartFormat chart="32" format="3">
      <pivotArea type="data" outline="0" fieldPosition="0">
        <references count="2">
          <reference field="4294967294" count="1" selected="0">
            <x v="0"/>
          </reference>
          <reference field="2" count="1" selected="0">
            <x v="2"/>
          </reference>
        </references>
      </pivotArea>
    </chartFormat>
    <chartFormat chart="34" format="8" series="1">
      <pivotArea type="data" outline="0" fieldPosition="0">
        <references count="1">
          <reference field="4294967294" count="1" selected="0">
            <x v="0"/>
          </reference>
        </references>
      </pivotArea>
    </chartFormat>
    <chartFormat chart="34" format="9">
      <pivotArea type="data" outline="0" fieldPosition="0">
        <references count="2">
          <reference field="4294967294" count="1" selected="0">
            <x v="0"/>
          </reference>
          <reference field="2" count="1" selected="0">
            <x v="0"/>
          </reference>
        </references>
      </pivotArea>
    </chartFormat>
    <chartFormat chart="34" format="10">
      <pivotArea type="data" outline="0" fieldPosition="0">
        <references count="2">
          <reference field="4294967294" count="1" selected="0">
            <x v="0"/>
          </reference>
          <reference field="2" count="1" selected="0">
            <x v="1"/>
          </reference>
        </references>
      </pivotArea>
    </chartFormat>
    <chartFormat chart="34"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3165D1-1C42-4172-BD12-8E1ED9DB29B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location ref="A81:B87" firstHeaderRow="1" firstDataRow="1" firstDataCol="1"/>
  <pivotFields count="7">
    <pivotField axis="axisRow" showAll="0" measureFilter="1" sortType="ascending">
      <items count="51">
        <item x="37"/>
        <item x="7"/>
        <item x="41"/>
        <item x="35"/>
        <item x="28"/>
        <item x="25"/>
        <item x="21"/>
        <item x="46"/>
        <item x="31"/>
        <item x="8"/>
        <item x="18"/>
        <item x="10"/>
        <item x="29"/>
        <item x="36"/>
        <item x="2"/>
        <item x="32"/>
        <item x="12"/>
        <item x="14"/>
        <item x="5"/>
        <item x="3"/>
        <item x="39"/>
        <item x="11"/>
        <item x="34"/>
        <item x="27"/>
        <item x="42"/>
        <item x="26"/>
        <item x="1"/>
        <item x="24"/>
        <item x="43"/>
        <item x="33"/>
        <item x="40"/>
        <item x="19"/>
        <item x="23"/>
        <item x="17"/>
        <item x="13"/>
        <item x="48"/>
        <item x="49"/>
        <item x="9"/>
        <item x="20"/>
        <item x="16"/>
        <item x="6"/>
        <item x="30"/>
        <item x="4"/>
        <item x="45"/>
        <item x="15"/>
        <item x="0"/>
        <item x="22"/>
        <item x="38"/>
        <item x="47"/>
        <item x="44"/>
        <item t="default"/>
      </items>
      <autoSortScope>
        <pivotArea dataOnly="0" outline="0" fieldPosition="0">
          <references count="1">
            <reference field="4294967294" count="1" selected="0">
              <x v="0"/>
            </reference>
          </references>
        </pivotArea>
      </autoSortScope>
    </pivotField>
    <pivotField showAll="0"/>
    <pivotField showAll="0">
      <items count="4">
        <item h="1" x="0"/>
        <item h="1" x="2"/>
        <item x="1"/>
        <item t="default"/>
      </items>
    </pivotField>
    <pivotField showAll="0"/>
    <pivotField showAll="0"/>
    <pivotField dataField="1" showAll="0"/>
    <pivotField showAll="0"/>
  </pivotFields>
  <rowFields count="1">
    <field x="0"/>
  </rowFields>
  <rowItems count="6">
    <i>
      <x v="41"/>
    </i>
    <i>
      <x v="23"/>
    </i>
    <i>
      <x v="25"/>
    </i>
    <i>
      <x v="14"/>
    </i>
    <i>
      <x v="5"/>
    </i>
    <i t="grand">
      <x/>
    </i>
  </rowItems>
  <colItems count="1">
    <i/>
  </colItems>
  <dataFields count="1">
    <dataField name="Sum of IMDb Rating" fld="5" baseField="0" baseItem="5"/>
  </dataFields>
  <formats count="6">
    <format dxfId="182">
      <pivotArea type="all" dataOnly="0" outline="0" fieldPosition="0"/>
    </format>
    <format dxfId="181">
      <pivotArea outline="0" collapsedLevelsAreSubtotals="1" fieldPosition="0"/>
    </format>
    <format dxfId="180">
      <pivotArea field="0" type="button" dataOnly="0" labelOnly="1" outline="0" axis="axisRow" fieldPosition="0"/>
    </format>
    <format dxfId="179">
      <pivotArea dataOnly="0" labelOnly="1" fieldPosition="0">
        <references count="1">
          <reference field="0" count="5">
            <x v="5"/>
            <x v="14"/>
            <x v="16"/>
            <x v="23"/>
            <x v="25"/>
          </reference>
        </references>
      </pivotArea>
    </format>
    <format dxfId="178">
      <pivotArea dataOnly="0" labelOnly="1" grandRow="1" outline="0" fieldPosition="0"/>
    </format>
    <format dxfId="177">
      <pivotArea dataOnly="0" labelOnly="1" outline="0" axis="axisValues" fieldPosition="0"/>
    </format>
  </formats>
  <chartFormats count="8">
    <chartFormat chart="51" format="0"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 chart="61" format="3">
      <pivotArea type="data" outline="0" fieldPosition="0">
        <references count="2">
          <reference field="4294967294" count="1" selected="0">
            <x v="0"/>
          </reference>
          <reference field="0" count="1" selected="0">
            <x v="5"/>
          </reference>
        </references>
      </pivotArea>
    </chartFormat>
    <chartFormat chart="61" format="4">
      <pivotArea type="data" outline="0" fieldPosition="0">
        <references count="2">
          <reference field="4294967294" count="1" selected="0">
            <x v="0"/>
          </reference>
          <reference field="0" count="1" selected="0">
            <x v="14"/>
          </reference>
        </references>
      </pivotArea>
    </chartFormat>
    <chartFormat chart="61" format="5">
      <pivotArea type="data" outline="0" fieldPosition="0">
        <references count="2">
          <reference field="4294967294" count="1" selected="0">
            <x v="0"/>
          </reference>
          <reference field="0" count="1" selected="0">
            <x v="16"/>
          </reference>
        </references>
      </pivotArea>
    </chartFormat>
    <chartFormat chart="61" format="6">
      <pivotArea type="data" outline="0" fieldPosition="0">
        <references count="2">
          <reference field="4294967294" count="1" selected="0">
            <x v="0"/>
          </reference>
          <reference field="0" count="1" selected="0">
            <x v="23"/>
          </reference>
        </references>
      </pivotArea>
    </chartFormat>
    <chartFormat chart="61" format="7">
      <pivotArea type="data" outline="0" fieldPosition="0">
        <references count="2">
          <reference field="4294967294" count="1" selected="0">
            <x v="0"/>
          </reference>
          <reference field="0" count="1" selected="0">
            <x v="25"/>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5DA769-B38C-4D4E-8E03-95C7115EDE4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6:B158" firstHeaderRow="1" firstDataRow="1" firstDataCol="1"/>
  <pivotFields count="7">
    <pivotField axis="axisRow" showAll="0" sortType="descending">
      <items count="51">
        <item x="44"/>
        <item x="47"/>
        <item x="38"/>
        <item x="22"/>
        <item x="0"/>
        <item x="15"/>
        <item x="45"/>
        <item x="4"/>
        <item x="30"/>
        <item x="6"/>
        <item x="16"/>
        <item x="20"/>
        <item x="9"/>
        <item x="49"/>
        <item x="48"/>
        <item x="13"/>
        <item x="17"/>
        <item x="23"/>
        <item x="19"/>
        <item x="40"/>
        <item x="33"/>
        <item x="43"/>
        <item x="24"/>
        <item x="1"/>
        <item x="26"/>
        <item x="42"/>
        <item x="27"/>
        <item x="34"/>
        <item x="11"/>
        <item x="39"/>
        <item x="3"/>
        <item x="5"/>
        <item x="14"/>
        <item x="12"/>
        <item x="32"/>
        <item x="2"/>
        <item x="36"/>
        <item x="29"/>
        <item x="10"/>
        <item x="18"/>
        <item x="8"/>
        <item x="31"/>
        <item x="46"/>
        <item x="21"/>
        <item x="25"/>
        <item x="28"/>
        <item x="35"/>
        <item x="41"/>
        <item x="7"/>
        <item x="37"/>
        <item t="default"/>
      </items>
      <autoSortScope>
        <pivotArea dataOnly="0" outline="0" fieldPosition="0">
          <references count="1">
            <reference field="4294967294" count="1" selected="0">
              <x v="0"/>
            </reference>
          </references>
        </pivotArea>
      </autoSortScope>
    </pivotField>
    <pivotField showAll="0"/>
    <pivotField showAll="0">
      <items count="4">
        <item h="1" x="0"/>
        <item h="1" x="2"/>
        <item x="1"/>
        <item t="default"/>
      </items>
    </pivotField>
    <pivotField showAll="0"/>
    <pivotField showAll="0"/>
    <pivotField dataField="1" showAll="0"/>
    <pivotField showAll="0"/>
  </pivotFields>
  <rowFields count="1">
    <field x="0"/>
  </rowFields>
  <rowItems count="32">
    <i>
      <x v="44"/>
    </i>
    <i>
      <x v="35"/>
    </i>
    <i>
      <x v="26"/>
    </i>
    <i>
      <x v="24"/>
    </i>
    <i>
      <x v="8"/>
    </i>
    <i>
      <x v="40"/>
    </i>
    <i>
      <x v="45"/>
    </i>
    <i>
      <x v="22"/>
    </i>
    <i>
      <x v="37"/>
    </i>
    <i>
      <x v="23"/>
    </i>
    <i>
      <x v="34"/>
    </i>
    <i>
      <x v="31"/>
    </i>
    <i>
      <x v="12"/>
    </i>
    <i>
      <x v="49"/>
    </i>
    <i>
      <x v="17"/>
    </i>
    <i>
      <x v="5"/>
    </i>
    <i>
      <x/>
    </i>
    <i>
      <x v="47"/>
    </i>
    <i>
      <x v="29"/>
    </i>
    <i>
      <x v="20"/>
    </i>
    <i>
      <x v="13"/>
    </i>
    <i>
      <x v="36"/>
    </i>
    <i>
      <x v="14"/>
    </i>
    <i>
      <x v="27"/>
    </i>
    <i>
      <x v="42"/>
    </i>
    <i>
      <x v="2"/>
    </i>
    <i>
      <x v="11"/>
    </i>
    <i>
      <x v="25"/>
    </i>
    <i>
      <x v="21"/>
    </i>
    <i>
      <x v="19"/>
    </i>
    <i>
      <x v="43"/>
    </i>
    <i t="grand">
      <x/>
    </i>
  </rowItems>
  <colItems count="1">
    <i/>
  </colItems>
  <dataFields count="1">
    <dataField name="Max of IMDb Rating" fld="5" subtotal="max" baseField="0" baseItem="0"/>
  </dataFields>
  <formats count="7">
    <format dxfId="189">
      <pivotArea type="all" dataOnly="0" outline="0" fieldPosition="0"/>
    </format>
    <format dxfId="188">
      <pivotArea outline="0" collapsedLevelsAreSubtotals="1" fieldPosition="0"/>
    </format>
    <format dxfId="187">
      <pivotArea field="0" type="button" dataOnly="0" labelOnly="1" outline="0" axis="axisRow" fieldPosition="0"/>
    </format>
    <format dxfId="186">
      <pivotArea dataOnly="0" labelOnly="1" fieldPosition="0">
        <references count="1">
          <reference field="0" count="0"/>
        </references>
      </pivotArea>
    </format>
    <format dxfId="185">
      <pivotArea dataOnly="0" labelOnly="1" grandRow="1" outline="0" fieldPosition="0"/>
    </format>
    <format dxfId="184">
      <pivotArea dataOnly="0" labelOnly="1" outline="0" axis="axisValues" fieldPosition="0"/>
    </format>
    <format dxfId="18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4DA109-D2E1-46BB-8A85-17E83AAAE7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7">
    <pivotField dataField="1" showAll="0"/>
    <pivotField showAll="0"/>
    <pivotField showAll="0">
      <items count="4">
        <item h="1" x="0"/>
        <item h="1" x="2"/>
        <item x="1"/>
        <item t="default"/>
      </items>
    </pivotField>
    <pivotField showAll="0"/>
    <pivotField showAll="0"/>
    <pivotField dataField="1" showAll="0"/>
    <pivotField showAll="0"/>
  </pivotFields>
  <rowItems count="1">
    <i/>
  </rowItems>
  <colFields count="1">
    <field x="-2"/>
  </colFields>
  <colItems count="2">
    <i>
      <x/>
    </i>
    <i i="1">
      <x v="1"/>
    </i>
  </colItems>
  <dataFields count="2">
    <dataField name="Count of Name" fld="0" subtotal="count" baseField="0" baseItem="0"/>
    <dataField name="Average of IMDb Rating" fld="5" subtotal="average" baseField="0" baseItem="1"/>
  </dataFields>
  <formats count="3">
    <format dxfId="192">
      <pivotArea type="all" dataOnly="0" outline="0" fieldPosition="0"/>
    </format>
    <format dxfId="191">
      <pivotArea outline="0" collapsedLevelsAreSubtotals="1" fieldPosition="0"/>
    </format>
    <format dxfId="19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70BC7B-18CC-42DD-A155-CC625DED667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1:B183" firstHeaderRow="1" firstDataRow="1" firstDataCol="1"/>
  <pivotFields count="7">
    <pivotField dataField="1" showAll="0"/>
    <pivotField showAll="0"/>
    <pivotField axis="axisRow" showAll="0" sortType="descending">
      <items count="4">
        <item h="1" x="0"/>
        <item h="1"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2"/>
  </rowFields>
  <rowItems count="2">
    <i>
      <x v="2"/>
    </i>
    <i t="grand">
      <x/>
    </i>
  </rowItems>
  <colItems count="1">
    <i/>
  </colItems>
  <dataFields count="1">
    <dataField name="Count of Name" fld="0" subtotal="count" baseField="0" baseItem="0"/>
  </dataFields>
  <formats count="6">
    <format dxfId="198">
      <pivotArea type="all" dataOnly="0" outline="0" fieldPosition="0"/>
    </format>
    <format dxfId="197">
      <pivotArea outline="0" collapsedLevelsAreSubtotals="1" fieldPosition="0"/>
    </format>
    <format dxfId="196">
      <pivotArea field="2" type="button" dataOnly="0" labelOnly="1" outline="0" axis="axisRow" fieldPosition="0"/>
    </format>
    <format dxfId="195">
      <pivotArea dataOnly="0" labelOnly="1" fieldPosition="0">
        <references count="1">
          <reference field="2" count="0"/>
        </references>
      </pivotArea>
    </format>
    <format dxfId="194">
      <pivotArea dataOnly="0" labelOnly="1" grandRow="1" outline="0" fieldPosition="0"/>
    </format>
    <format dxfId="1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ting1" xr10:uid="{D4762E78-E2EA-431B-B853-B1A2E9282ED6}" sourceName="Age Rating">
  <pivotTables>
    <pivotTable tabId="4" name="PivotTable1"/>
    <pivotTable tabId="4" name="PivotTable2"/>
    <pivotTable tabId="4" name="PivotTable3"/>
    <pivotTable tabId="4" name="PivotTable6"/>
    <pivotTable tabId="4" name="PivotTable8"/>
    <pivotTable tabId="4" name="PivotTable10"/>
    <pivotTable tabId="4" name="PivotTable11"/>
    <pivotTable tabId="4" name="PivotTable12"/>
  </pivotTables>
  <data>
    <tabular pivotCacheId="1488919595">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Rating 1" xr10:uid="{9B87BC28-247B-4316-9664-2489FEC64A50}" cache="Slicer_Age_Rating1" caption="Age Rating" columnCount="3" style="Netflix Dark Re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0D207F-E393-4FED-81F1-F57A389A22FD}" name="Table1" displayName="Table1" ref="A1:G51" totalsRowShown="0" headerRowDxfId="143" dataDxfId="141" headerRowBorderDxfId="142" tableBorderDxfId="140" totalsRowBorderDxfId="139">
  <autoFilter ref="A1:G51" xr:uid="{B70D207F-E393-4FED-81F1-F57A389A22FD}"/>
  <tableColumns count="7">
    <tableColumn id="1" xr3:uid="{D7D47CA0-5846-4CF0-8A3E-F554DDA9A6F6}" name="Name" dataDxfId="138"/>
    <tableColumn id="2" xr3:uid="{A06F8592-77FA-4212-B416-D4C5A88973FE}" name="Year" dataDxfId="137"/>
    <tableColumn id="3" xr3:uid="{F1F0C655-0310-4B28-9B39-8D32CB9379E6}" name="Age Rating" dataDxfId="136"/>
    <tableColumn id="7" xr3:uid="{6ACF3390-F9E2-4CC1-B949-CE35AD884DA9}" name="Duration" dataDxfId="135"/>
    <tableColumn id="5" xr3:uid="{723DC84C-8244-4258-B24E-72C880F593E0}" name="Category" dataDxfId="134"/>
    <tableColumn id="6" xr3:uid="{C5511E04-8342-4C09-886B-9F8A8ED64A29}" name="IMDb Rating" dataDxfId="133"/>
    <tableColumn id="4" xr3:uid="{AFC9F45A-4BB4-4567-AA46-8E6CAB7C827A}" name="Rating Range" dataDxfId="132">
      <calculatedColumnFormula>IF(Table1[[#This Row],[IMDb Rating]]&gt;=9,"9+",IF(Table1[[#This Row],[IMDb Rating]]&gt;=8,"8 - 8.9",IF(Table1[[#This Row],[IMDb Rating]]&gt;=7,"7-7.9","Below 7")))</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61939-898F-4584-9833-6F3B4C54A908}">
  <dimension ref="A1:E190"/>
  <sheetViews>
    <sheetView workbookViewId="0"/>
  </sheetViews>
  <sheetFormatPr defaultRowHeight="14.4" x14ac:dyDescent="0.3"/>
  <cols>
    <col min="1" max="1" width="18.109375" bestFit="1" customWidth="1"/>
    <col min="2" max="2" width="13.88671875" bestFit="1" customWidth="1"/>
    <col min="3" max="3" width="21.33203125" bestFit="1" customWidth="1"/>
    <col min="4" max="4" width="19" bestFit="1" customWidth="1"/>
    <col min="5" max="5" width="24.5546875" bestFit="1" customWidth="1"/>
  </cols>
  <sheetData>
    <row r="1" spans="1:2" ht="15" thickBot="1" x14ac:dyDescent="0.35"/>
    <row r="2" spans="1:2" ht="15" thickBot="1" x14ac:dyDescent="0.35">
      <c r="A2" s="38" t="s">
        <v>96</v>
      </c>
      <c r="B2" s="39"/>
    </row>
    <row r="3" spans="1:2" ht="15" thickBot="1" x14ac:dyDescent="0.35">
      <c r="A3" s="36" t="s">
        <v>82</v>
      </c>
      <c r="B3" s="22" t="s">
        <v>83</v>
      </c>
    </row>
    <row r="4" spans="1:2" ht="15" thickBot="1" x14ac:dyDescent="0.35">
      <c r="A4" s="46">
        <v>31</v>
      </c>
      <c r="B4" s="47">
        <v>8.2967741935483872</v>
      </c>
    </row>
    <row r="5" spans="1:2" x14ac:dyDescent="0.3">
      <c r="A5" s="40"/>
      <c r="B5" s="41"/>
    </row>
    <row r="6" spans="1:2" x14ac:dyDescent="0.3">
      <c r="A6" s="12" t="s">
        <v>84</v>
      </c>
      <c r="B6" s="13" t="s">
        <v>85</v>
      </c>
    </row>
    <row r="7" spans="1:2" ht="15" thickBot="1" x14ac:dyDescent="0.35">
      <c r="A7" s="14">
        <f>GETPIVOTDATA("Count of Name",$A$3)</f>
        <v>31</v>
      </c>
      <c r="B7" s="15">
        <f>GETPIVOTDATA("Average of IMDb Rating",$A$3)</f>
        <v>8.2967741935483872</v>
      </c>
    </row>
    <row r="9" spans="1:2" ht="15" thickBot="1" x14ac:dyDescent="0.35"/>
    <row r="10" spans="1:2" ht="15" thickBot="1" x14ac:dyDescent="0.35">
      <c r="A10" s="38" t="s">
        <v>97</v>
      </c>
      <c r="B10" s="39"/>
    </row>
    <row r="11" spans="1:2" ht="15" thickBot="1" x14ac:dyDescent="0.35">
      <c r="A11" s="28" t="s">
        <v>80</v>
      </c>
      <c r="B11" s="29" t="s">
        <v>82</v>
      </c>
    </row>
    <row r="12" spans="1:2" x14ac:dyDescent="0.3">
      <c r="A12" s="26">
        <v>1960</v>
      </c>
      <c r="B12" s="43">
        <v>1</v>
      </c>
    </row>
    <row r="13" spans="1:2" x14ac:dyDescent="0.3">
      <c r="A13" s="26">
        <v>1972</v>
      </c>
      <c r="B13" s="43">
        <v>1</v>
      </c>
    </row>
    <row r="14" spans="1:2" x14ac:dyDescent="0.3">
      <c r="A14" s="26">
        <v>1991</v>
      </c>
      <c r="B14" s="43">
        <v>2</v>
      </c>
    </row>
    <row r="15" spans="1:2" x14ac:dyDescent="0.3">
      <c r="A15" s="26">
        <v>1993</v>
      </c>
      <c r="B15" s="43">
        <v>1</v>
      </c>
    </row>
    <row r="16" spans="1:2" x14ac:dyDescent="0.3">
      <c r="A16" s="26">
        <v>1994</v>
      </c>
      <c r="B16" s="43">
        <v>2</v>
      </c>
    </row>
    <row r="17" spans="1:2" x14ac:dyDescent="0.3">
      <c r="A17" s="26">
        <v>1999</v>
      </c>
      <c r="B17" s="43">
        <v>3</v>
      </c>
    </row>
    <row r="18" spans="1:2" x14ac:dyDescent="0.3">
      <c r="A18" s="26">
        <v>2000</v>
      </c>
      <c r="B18" s="43">
        <v>1</v>
      </c>
    </row>
    <row r="19" spans="1:2" x14ac:dyDescent="0.3">
      <c r="A19" s="26">
        <v>2006</v>
      </c>
      <c r="B19" s="43">
        <v>1</v>
      </c>
    </row>
    <row r="20" spans="1:2" x14ac:dyDescent="0.3">
      <c r="A20" s="26">
        <v>2007</v>
      </c>
      <c r="B20" s="43">
        <v>1</v>
      </c>
    </row>
    <row r="21" spans="1:2" x14ac:dyDescent="0.3">
      <c r="A21" s="26">
        <v>2008</v>
      </c>
      <c r="B21" s="43">
        <v>1</v>
      </c>
    </row>
    <row r="22" spans="1:2" x14ac:dyDescent="0.3">
      <c r="A22" s="26">
        <v>2012</v>
      </c>
      <c r="B22" s="43">
        <v>1</v>
      </c>
    </row>
    <row r="23" spans="1:2" x14ac:dyDescent="0.3">
      <c r="A23" s="26">
        <v>2013</v>
      </c>
      <c r="B23" s="43">
        <v>1</v>
      </c>
    </row>
    <row r="24" spans="1:2" x14ac:dyDescent="0.3">
      <c r="A24" s="26">
        <v>2014</v>
      </c>
      <c r="B24" s="43">
        <v>4</v>
      </c>
    </row>
    <row r="25" spans="1:2" x14ac:dyDescent="0.3">
      <c r="A25" s="26">
        <v>2015</v>
      </c>
      <c r="B25" s="43">
        <v>2</v>
      </c>
    </row>
    <row r="26" spans="1:2" x14ac:dyDescent="0.3">
      <c r="A26" s="26">
        <v>2016</v>
      </c>
      <c r="B26" s="43">
        <v>1</v>
      </c>
    </row>
    <row r="27" spans="1:2" x14ac:dyDescent="0.3">
      <c r="A27" s="26">
        <v>2017</v>
      </c>
      <c r="B27" s="43">
        <v>3</v>
      </c>
    </row>
    <row r="28" spans="1:2" x14ac:dyDescent="0.3">
      <c r="A28" s="26">
        <v>2018</v>
      </c>
      <c r="B28" s="43">
        <v>1</v>
      </c>
    </row>
    <row r="29" spans="1:2" ht="15" thickBot="1" x14ac:dyDescent="0.35">
      <c r="A29" s="27">
        <v>2019</v>
      </c>
      <c r="B29" s="43">
        <v>4</v>
      </c>
    </row>
    <row r="30" spans="1:2" ht="15" thickBot="1" x14ac:dyDescent="0.35">
      <c r="A30" s="27" t="s">
        <v>81</v>
      </c>
      <c r="B30" s="44">
        <v>31</v>
      </c>
    </row>
    <row r="35" spans="1:2" ht="15" thickBot="1" x14ac:dyDescent="0.35"/>
    <row r="36" spans="1:2" ht="15" thickBot="1" x14ac:dyDescent="0.35"/>
    <row r="38" spans="1:2" ht="15" thickBot="1" x14ac:dyDescent="0.35"/>
    <row r="39" spans="1:2" ht="15" thickBot="1" x14ac:dyDescent="0.35">
      <c r="A39" s="38" t="s">
        <v>98</v>
      </c>
      <c r="B39" s="39"/>
    </row>
    <row r="40" spans="1:2" ht="15" thickBot="1" x14ac:dyDescent="0.35">
      <c r="A40" s="17" t="s">
        <v>80</v>
      </c>
      <c r="B40" s="29" t="s">
        <v>82</v>
      </c>
    </row>
    <row r="41" spans="1:2" x14ac:dyDescent="0.3">
      <c r="A41" s="18" t="s">
        <v>104</v>
      </c>
      <c r="B41" s="35">
        <v>13</v>
      </c>
    </row>
    <row r="42" spans="1:2" x14ac:dyDescent="0.3">
      <c r="A42" s="18" t="s">
        <v>105</v>
      </c>
      <c r="B42" s="35">
        <v>34</v>
      </c>
    </row>
    <row r="43" spans="1:2" x14ac:dyDescent="0.3">
      <c r="A43" s="18" t="s">
        <v>106</v>
      </c>
      <c r="B43" s="35">
        <v>3</v>
      </c>
    </row>
    <row r="44" spans="1:2" ht="15" thickBot="1" x14ac:dyDescent="0.35">
      <c r="A44" s="27" t="s">
        <v>81</v>
      </c>
      <c r="B44" s="29">
        <v>50</v>
      </c>
    </row>
    <row r="49" spans="1:3" ht="15" thickBot="1" x14ac:dyDescent="0.35"/>
    <row r="50" spans="1:3" ht="15" thickBot="1" x14ac:dyDescent="0.35">
      <c r="A50" s="38" t="s">
        <v>99</v>
      </c>
      <c r="B50" s="39"/>
    </row>
    <row r="51" spans="1:3" ht="15" thickBot="1" x14ac:dyDescent="0.35">
      <c r="A51" s="28" t="s">
        <v>80</v>
      </c>
      <c r="B51" s="29" t="s">
        <v>82</v>
      </c>
    </row>
    <row r="52" spans="1:3" x14ac:dyDescent="0.3">
      <c r="A52" s="26" t="s">
        <v>7</v>
      </c>
      <c r="B52" s="35">
        <v>5</v>
      </c>
    </row>
    <row r="53" spans="1:3" x14ac:dyDescent="0.3">
      <c r="A53" s="26" t="s">
        <v>21</v>
      </c>
      <c r="B53" s="35">
        <v>14</v>
      </c>
    </row>
    <row r="54" spans="1:3" ht="15" thickBot="1" x14ac:dyDescent="0.35">
      <c r="A54" s="27" t="s">
        <v>10</v>
      </c>
      <c r="B54" s="35">
        <v>31</v>
      </c>
    </row>
    <row r="55" spans="1:3" ht="15" thickBot="1" x14ac:dyDescent="0.35">
      <c r="A55" s="27" t="s">
        <v>81</v>
      </c>
      <c r="B55" s="29">
        <v>50</v>
      </c>
    </row>
    <row r="61" spans="1:3" ht="15" thickBot="1" x14ac:dyDescent="0.35"/>
    <row r="62" spans="1:3" ht="15" thickBot="1" x14ac:dyDescent="0.35">
      <c r="A62" s="38" t="s">
        <v>100</v>
      </c>
      <c r="B62" s="42"/>
      <c r="C62" s="39"/>
    </row>
    <row r="63" spans="1:3" ht="15" thickBot="1" x14ac:dyDescent="0.35">
      <c r="A63" s="28" t="s">
        <v>80</v>
      </c>
      <c r="B63" s="14" t="s">
        <v>82</v>
      </c>
      <c r="C63" s="19" t="s">
        <v>83</v>
      </c>
    </row>
    <row r="64" spans="1:3" x14ac:dyDescent="0.3">
      <c r="A64" s="18" t="s">
        <v>25</v>
      </c>
      <c r="B64" s="48">
        <v>1</v>
      </c>
      <c r="C64" s="20">
        <v>8.5</v>
      </c>
    </row>
    <row r="65" spans="1:3" ht="15" thickBot="1" x14ac:dyDescent="0.35">
      <c r="A65" s="27" t="s">
        <v>19</v>
      </c>
      <c r="B65" s="48">
        <v>2</v>
      </c>
      <c r="C65" s="20">
        <v>8.6</v>
      </c>
    </row>
    <row r="66" spans="1:3" x14ac:dyDescent="0.3">
      <c r="A66" s="18" t="s">
        <v>52</v>
      </c>
      <c r="B66" s="48">
        <v>1</v>
      </c>
      <c r="C66" s="20">
        <v>8.9</v>
      </c>
    </row>
    <row r="67" spans="1:3" x14ac:dyDescent="0.3">
      <c r="A67" s="26" t="s">
        <v>13</v>
      </c>
      <c r="B67" s="48">
        <v>9</v>
      </c>
      <c r="C67" s="20">
        <v>8.5111111111111111</v>
      </c>
    </row>
    <row r="68" spans="1:3" x14ac:dyDescent="0.3">
      <c r="A68" s="26" t="s">
        <v>65</v>
      </c>
      <c r="B68" s="48">
        <v>1</v>
      </c>
      <c r="C68" s="20">
        <v>8.5</v>
      </c>
    </row>
    <row r="69" spans="1:3" ht="15" thickBot="1" x14ac:dyDescent="0.35">
      <c r="A69" s="27" t="s">
        <v>11</v>
      </c>
      <c r="B69" s="48">
        <v>1</v>
      </c>
      <c r="C69" s="20">
        <v>8.5</v>
      </c>
    </row>
    <row r="70" spans="1:3" ht="15" thickBot="1" x14ac:dyDescent="0.35">
      <c r="A70" s="27" t="s">
        <v>81</v>
      </c>
      <c r="B70" s="45">
        <v>15</v>
      </c>
      <c r="C70" s="21">
        <v>8.5466666666666651</v>
      </c>
    </row>
    <row r="79" spans="1:3" ht="15" thickBot="1" x14ac:dyDescent="0.35"/>
    <row r="80" spans="1:3" ht="15" thickBot="1" x14ac:dyDescent="0.35">
      <c r="A80" s="38" t="s">
        <v>101</v>
      </c>
      <c r="B80" s="39"/>
    </row>
    <row r="81" spans="1:2" ht="15" thickBot="1" x14ac:dyDescent="0.35">
      <c r="A81" s="28" t="s">
        <v>80</v>
      </c>
      <c r="B81" s="29" t="s">
        <v>87</v>
      </c>
    </row>
    <row r="82" spans="1:2" x14ac:dyDescent="0.3">
      <c r="A82" s="18" t="s">
        <v>55</v>
      </c>
      <c r="B82" s="43">
        <v>8.8000000000000007</v>
      </c>
    </row>
    <row r="83" spans="1:2" x14ac:dyDescent="0.3">
      <c r="A83" s="26" t="s">
        <v>51</v>
      </c>
      <c r="B83" s="43">
        <v>8.9</v>
      </c>
    </row>
    <row r="84" spans="1:2" x14ac:dyDescent="0.3">
      <c r="A84" s="26" t="s">
        <v>50</v>
      </c>
      <c r="B84" s="43">
        <v>8.9</v>
      </c>
    </row>
    <row r="85" spans="1:2" x14ac:dyDescent="0.3">
      <c r="A85" s="26" t="s">
        <v>12</v>
      </c>
      <c r="B85" s="43">
        <v>9.1999999999999993</v>
      </c>
    </row>
    <row r="86" spans="1:2" ht="15" thickBot="1" x14ac:dyDescent="0.35">
      <c r="A86" s="27" t="s">
        <v>48</v>
      </c>
      <c r="B86" s="43">
        <v>9.3000000000000007</v>
      </c>
    </row>
    <row r="87" spans="1:2" ht="15" thickBot="1" x14ac:dyDescent="0.35">
      <c r="A87" s="27" t="s">
        <v>81</v>
      </c>
      <c r="B87" s="44">
        <v>45.099999999999994</v>
      </c>
    </row>
    <row r="97" spans="1:5" ht="15" thickBot="1" x14ac:dyDescent="0.35"/>
    <row r="98" spans="1:5" ht="15" thickBot="1" x14ac:dyDescent="0.35">
      <c r="A98" s="38" t="s">
        <v>89</v>
      </c>
      <c r="B98" s="39"/>
    </row>
    <row r="99" spans="1:5" ht="15" thickBot="1" x14ac:dyDescent="0.35">
      <c r="A99" s="28" t="s">
        <v>80</v>
      </c>
      <c r="B99" s="29" t="s">
        <v>88</v>
      </c>
    </row>
    <row r="100" spans="1:5" ht="15" thickBot="1" x14ac:dyDescent="0.35">
      <c r="A100" s="26" t="s">
        <v>13</v>
      </c>
      <c r="B100" s="43">
        <v>9</v>
      </c>
    </row>
    <row r="101" spans="1:5" ht="15" thickBot="1" x14ac:dyDescent="0.35">
      <c r="A101" s="26" t="s">
        <v>49</v>
      </c>
      <c r="B101" s="43">
        <v>4</v>
      </c>
      <c r="D101" s="16" t="s">
        <v>89</v>
      </c>
      <c r="E101" s="23" t="str">
        <f>A100</f>
        <v xml:space="preserve"> Crime/Drama </v>
      </c>
    </row>
    <row r="102" spans="1:5" x14ac:dyDescent="0.3">
      <c r="A102" s="26" t="s">
        <v>41</v>
      </c>
      <c r="B102" s="43">
        <v>3</v>
      </c>
    </row>
    <row r="103" spans="1:5" x14ac:dyDescent="0.3">
      <c r="A103" s="26" t="s">
        <v>8</v>
      </c>
      <c r="B103" s="43">
        <v>2</v>
      </c>
    </row>
    <row r="104" spans="1:5" x14ac:dyDescent="0.3">
      <c r="A104" s="26" t="s">
        <v>19</v>
      </c>
      <c r="B104" s="43">
        <v>2</v>
      </c>
    </row>
    <row r="105" spans="1:5" x14ac:dyDescent="0.3">
      <c r="A105" s="26" t="s">
        <v>73</v>
      </c>
      <c r="B105" s="43">
        <v>1</v>
      </c>
    </row>
    <row r="106" spans="1:5" x14ac:dyDescent="0.3">
      <c r="A106" s="26" t="s">
        <v>57</v>
      </c>
      <c r="B106" s="43">
        <v>1</v>
      </c>
    </row>
    <row r="107" spans="1:5" x14ac:dyDescent="0.3">
      <c r="A107" s="26" t="s">
        <v>43</v>
      </c>
      <c r="B107" s="43">
        <v>1</v>
      </c>
    </row>
    <row r="108" spans="1:5" x14ac:dyDescent="0.3">
      <c r="A108" s="26" t="s">
        <v>63</v>
      </c>
      <c r="B108" s="43">
        <v>1</v>
      </c>
    </row>
    <row r="109" spans="1:5" x14ac:dyDescent="0.3">
      <c r="A109" s="26" t="s">
        <v>27</v>
      </c>
      <c r="B109" s="43">
        <v>1</v>
      </c>
    </row>
    <row r="110" spans="1:5" x14ac:dyDescent="0.3">
      <c r="A110" s="26" t="s">
        <v>15</v>
      </c>
      <c r="B110" s="43">
        <v>1</v>
      </c>
    </row>
    <row r="111" spans="1:5" x14ac:dyDescent="0.3">
      <c r="A111" s="26" t="s">
        <v>35</v>
      </c>
      <c r="B111" s="43">
        <v>1</v>
      </c>
    </row>
    <row r="112" spans="1:5" x14ac:dyDescent="0.3">
      <c r="A112" s="26" t="s">
        <v>11</v>
      </c>
      <c r="B112" s="43">
        <v>1</v>
      </c>
    </row>
    <row r="113" spans="1:5" x14ac:dyDescent="0.3">
      <c r="A113" s="26" t="s">
        <v>52</v>
      </c>
      <c r="B113" s="43">
        <v>1</v>
      </c>
    </row>
    <row r="114" spans="1:5" x14ac:dyDescent="0.3">
      <c r="A114" s="26" t="s">
        <v>65</v>
      </c>
      <c r="B114" s="43">
        <v>1</v>
      </c>
    </row>
    <row r="115" spans="1:5" ht="15" thickBot="1" x14ac:dyDescent="0.35">
      <c r="A115" s="27" t="s">
        <v>25</v>
      </c>
      <c r="B115" s="43">
        <v>1</v>
      </c>
    </row>
    <row r="116" spans="1:5" ht="15" thickBot="1" x14ac:dyDescent="0.35">
      <c r="A116" s="27" t="s">
        <v>81</v>
      </c>
      <c r="B116" s="44">
        <v>31</v>
      </c>
    </row>
    <row r="120" spans="1:5" ht="15" thickBot="1" x14ac:dyDescent="0.35"/>
    <row r="121" spans="1:5" ht="15" thickBot="1" x14ac:dyDescent="0.35"/>
    <row r="124" spans="1:5" ht="15" thickBot="1" x14ac:dyDescent="0.35"/>
    <row r="125" spans="1:5" ht="15" thickBot="1" x14ac:dyDescent="0.35">
      <c r="A125" s="38" t="s">
        <v>91</v>
      </c>
      <c r="B125" s="39"/>
    </row>
    <row r="126" spans="1:5" ht="15" thickBot="1" x14ac:dyDescent="0.35">
      <c r="A126" s="28" t="s">
        <v>80</v>
      </c>
      <c r="B126" s="29" t="s">
        <v>90</v>
      </c>
    </row>
    <row r="127" spans="1:5" ht="15" thickBot="1" x14ac:dyDescent="0.35">
      <c r="A127" s="26" t="s">
        <v>48</v>
      </c>
      <c r="B127" s="43">
        <v>9.3000000000000007</v>
      </c>
    </row>
    <row r="128" spans="1:5" ht="15" thickBot="1" x14ac:dyDescent="0.35">
      <c r="A128" s="26" t="s">
        <v>12</v>
      </c>
      <c r="B128" s="43">
        <v>9.1999999999999993</v>
      </c>
      <c r="D128" s="24" t="s">
        <v>91</v>
      </c>
      <c r="E128" s="22" t="str">
        <f>A127</f>
        <v xml:space="preserve">The Shawshank Redemption </v>
      </c>
    </row>
    <row r="129" spans="1:2" x14ac:dyDescent="0.3">
      <c r="A129" s="26" t="s">
        <v>51</v>
      </c>
      <c r="B129" s="43">
        <v>8.9</v>
      </c>
    </row>
    <row r="130" spans="1:2" x14ac:dyDescent="0.3">
      <c r="A130" s="26" t="s">
        <v>50</v>
      </c>
      <c r="B130" s="43">
        <v>8.9</v>
      </c>
    </row>
    <row r="131" spans="1:2" x14ac:dyDescent="0.3">
      <c r="A131" s="26" t="s">
        <v>55</v>
      </c>
      <c r="B131" s="43">
        <v>8.8000000000000007</v>
      </c>
    </row>
    <row r="132" spans="1:2" x14ac:dyDescent="0.3">
      <c r="A132" s="26" t="s">
        <v>23</v>
      </c>
      <c r="B132" s="43">
        <v>8.6999999999999993</v>
      </c>
    </row>
    <row r="133" spans="1:2" x14ac:dyDescent="0.3">
      <c r="A133" s="26" t="s">
        <v>53</v>
      </c>
      <c r="B133" s="43">
        <v>8.6</v>
      </c>
    </row>
    <row r="134" spans="1:2" x14ac:dyDescent="0.3">
      <c r="A134" s="26" t="s">
        <v>47</v>
      </c>
      <c r="B134" s="43">
        <v>8.6</v>
      </c>
    </row>
    <row r="135" spans="1:2" x14ac:dyDescent="0.3">
      <c r="A135" s="26" t="s">
        <v>54</v>
      </c>
      <c r="B135" s="43">
        <v>8.6</v>
      </c>
    </row>
    <row r="136" spans="1:2" x14ac:dyDescent="0.3">
      <c r="A136" s="26" t="s">
        <v>9</v>
      </c>
      <c r="B136" s="43">
        <v>8.5</v>
      </c>
    </row>
    <row r="137" spans="1:2" x14ac:dyDescent="0.3">
      <c r="A137" s="26" t="s">
        <v>58</v>
      </c>
      <c r="B137" s="43">
        <v>8.5</v>
      </c>
    </row>
    <row r="138" spans="1:2" x14ac:dyDescent="0.3">
      <c r="A138" s="26" t="s">
        <v>18</v>
      </c>
      <c r="B138" s="43">
        <v>8.5</v>
      </c>
    </row>
    <row r="139" spans="1:2" x14ac:dyDescent="0.3">
      <c r="A139" s="26" t="s">
        <v>24</v>
      </c>
      <c r="B139" s="43">
        <v>8.5</v>
      </c>
    </row>
    <row r="140" spans="1:2" x14ac:dyDescent="0.3">
      <c r="A140" s="26" t="s">
        <v>64</v>
      </c>
      <c r="B140" s="43">
        <v>8.5</v>
      </c>
    </row>
    <row r="141" spans="1:2" x14ac:dyDescent="0.3">
      <c r="A141" s="26" t="s">
        <v>46</v>
      </c>
      <c r="B141" s="43">
        <v>8.4</v>
      </c>
    </row>
    <row r="142" spans="1:2" x14ac:dyDescent="0.3">
      <c r="A142" s="26" t="s">
        <v>34</v>
      </c>
      <c r="B142" s="43">
        <v>8.4</v>
      </c>
    </row>
    <row r="143" spans="1:2" x14ac:dyDescent="0.3">
      <c r="A143" s="26" t="s">
        <v>72</v>
      </c>
      <c r="B143" s="43">
        <v>8.3000000000000007</v>
      </c>
    </row>
    <row r="144" spans="1:2" x14ac:dyDescent="0.3">
      <c r="A144" s="26" t="s">
        <v>69</v>
      </c>
      <c r="B144" s="43">
        <v>8.1999999999999993</v>
      </c>
    </row>
    <row r="145" spans="1:2" x14ac:dyDescent="0.3">
      <c r="A145" s="26" t="s">
        <v>67</v>
      </c>
      <c r="B145" s="43">
        <v>8.1</v>
      </c>
    </row>
    <row r="146" spans="1:2" x14ac:dyDescent="0.3">
      <c r="A146" s="26" t="s">
        <v>59</v>
      </c>
      <c r="B146" s="43">
        <v>8.1</v>
      </c>
    </row>
    <row r="147" spans="1:2" x14ac:dyDescent="0.3">
      <c r="A147" s="26" t="s">
        <v>79</v>
      </c>
      <c r="B147" s="43">
        <v>8.1</v>
      </c>
    </row>
    <row r="148" spans="1:2" x14ac:dyDescent="0.3">
      <c r="A148" s="26" t="s">
        <v>62</v>
      </c>
      <c r="B148" s="43">
        <v>8.1</v>
      </c>
    </row>
    <row r="149" spans="1:2" x14ac:dyDescent="0.3">
      <c r="A149" s="26" t="s">
        <v>78</v>
      </c>
      <c r="B149" s="43">
        <v>8</v>
      </c>
    </row>
    <row r="150" spans="1:2" x14ac:dyDescent="0.3">
      <c r="A150" s="26" t="s">
        <v>60</v>
      </c>
      <c r="B150" s="43">
        <v>8</v>
      </c>
    </row>
    <row r="151" spans="1:2" x14ac:dyDescent="0.3">
      <c r="A151" s="26" t="s">
        <v>75</v>
      </c>
      <c r="B151" s="43">
        <v>8</v>
      </c>
    </row>
    <row r="152" spans="1:2" x14ac:dyDescent="0.3">
      <c r="A152" s="26" t="s">
        <v>66</v>
      </c>
      <c r="B152" s="43">
        <v>7.7</v>
      </c>
    </row>
    <row r="153" spans="1:2" x14ac:dyDescent="0.3">
      <c r="A153" s="26" t="s">
        <v>42</v>
      </c>
      <c r="B153" s="43">
        <v>7.7</v>
      </c>
    </row>
    <row r="154" spans="1:2" x14ac:dyDescent="0.3">
      <c r="A154" s="26" t="s">
        <v>70</v>
      </c>
      <c r="B154" s="43">
        <v>7.7</v>
      </c>
    </row>
    <row r="155" spans="1:2" x14ac:dyDescent="0.3">
      <c r="A155" s="26" t="s">
        <v>71</v>
      </c>
      <c r="B155" s="43">
        <v>7.6</v>
      </c>
    </row>
    <row r="156" spans="1:2" x14ac:dyDescent="0.3">
      <c r="A156" s="26" t="s">
        <v>68</v>
      </c>
      <c r="B156" s="43">
        <v>7.4</v>
      </c>
    </row>
    <row r="157" spans="1:2" ht="15" thickBot="1" x14ac:dyDescent="0.35">
      <c r="A157" s="27" t="s">
        <v>44</v>
      </c>
      <c r="B157" s="43">
        <v>7.3</v>
      </c>
    </row>
    <row r="158" spans="1:2" ht="15" thickBot="1" x14ac:dyDescent="0.35">
      <c r="A158" s="27" t="s">
        <v>81</v>
      </c>
      <c r="B158" s="49">
        <v>9.3000000000000007</v>
      </c>
    </row>
    <row r="176" ht="15" thickBot="1" x14ac:dyDescent="0.35"/>
    <row r="177" spans="1:5" ht="15" thickBot="1" x14ac:dyDescent="0.35"/>
    <row r="179" spans="1:5" ht="15" thickBot="1" x14ac:dyDescent="0.35"/>
    <row r="180" spans="1:5" ht="15" thickBot="1" x14ac:dyDescent="0.35">
      <c r="A180" s="38" t="s">
        <v>92</v>
      </c>
      <c r="B180" s="39"/>
    </row>
    <row r="181" spans="1:5" ht="15" thickBot="1" x14ac:dyDescent="0.35">
      <c r="A181" s="28" t="s">
        <v>80</v>
      </c>
      <c r="B181" s="29" t="s">
        <v>82</v>
      </c>
    </row>
    <row r="182" spans="1:5" ht="15" thickBot="1" x14ac:dyDescent="0.35">
      <c r="A182" s="27" t="s">
        <v>10</v>
      </c>
      <c r="B182" s="43">
        <v>31</v>
      </c>
      <c r="D182" s="16" t="s">
        <v>92</v>
      </c>
      <c r="E182" s="23" t="str">
        <f>A182</f>
        <v xml:space="preserve"> R </v>
      </c>
    </row>
    <row r="183" spans="1:5" ht="15" thickBot="1" x14ac:dyDescent="0.35">
      <c r="A183" s="27" t="s">
        <v>81</v>
      </c>
      <c r="B183" s="44">
        <v>31</v>
      </c>
    </row>
    <row r="185" spans="1:5" ht="15" thickBot="1" x14ac:dyDescent="0.35"/>
    <row r="187" spans="1:5" ht="15" thickBot="1" x14ac:dyDescent="0.35"/>
    <row r="188" spans="1:5" ht="15" thickBot="1" x14ac:dyDescent="0.35">
      <c r="A188" s="25" t="s">
        <v>102</v>
      </c>
    </row>
    <row r="189" spans="1:5" ht="15" thickBot="1" x14ac:dyDescent="0.35">
      <c r="A189" s="23" t="s">
        <v>93</v>
      </c>
    </row>
    <row r="190" spans="1:5" ht="15" thickBot="1" x14ac:dyDescent="0.35">
      <c r="A190" s="37">
        <v>135.90322580645162</v>
      </c>
      <c r="D190" s="24" t="s">
        <v>95</v>
      </c>
      <c r="E190" s="22" t="str">
        <f>_xlfn.CONCAT(INT(GETPIVOTDATA("Duration",$A$189))," Mins")</f>
        <v>135 Mins</v>
      </c>
    </row>
  </sheetData>
  <mergeCells count="10">
    <mergeCell ref="A2:B2"/>
    <mergeCell ref="A10:B10"/>
    <mergeCell ref="A39:B39"/>
    <mergeCell ref="A50:B50"/>
    <mergeCell ref="A62:C62"/>
    <mergeCell ref="A80:B80"/>
    <mergeCell ref="A98:B98"/>
    <mergeCell ref="A125:B125"/>
    <mergeCell ref="A180:B180"/>
    <mergeCell ref="A5:B5"/>
  </mergeCells>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EBD16-445A-426C-85BA-B32A9CBA71C3}">
  <dimension ref="A9:X18"/>
  <sheetViews>
    <sheetView showGridLines="0" zoomScaleNormal="100" workbookViewId="0">
      <selection activeCell="C33" sqref="C33"/>
    </sheetView>
  </sheetViews>
  <sheetFormatPr defaultRowHeight="14.4" x14ac:dyDescent="0.3"/>
  <sheetData>
    <row r="9" spans="1:24" x14ac:dyDescent="0.3">
      <c r="X9" t="s">
        <v>86</v>
      </c>
    </row>
    <row r="11" spans="1:24" ht="15" x14ac:dyDescent="0.35">
      <c r="A11" s="10"/>
    </row>
    <row r="18" customForma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8A5B5-E8A0-45E4-AB5E-7D122BE4AA36}">
  <dimension ref="A1:K51"/>
  <sheetViews>
    <sheetView tabSelected="1" topLeftCell="B1" workbookViewId="0">
      <selection activeCell="O19" sqref="O19:O20"/>
    </sheetView>
  </sheetViews>
  <sheetFormatPr defaultRowHeight="14.4" x14ac:dyDescent="0.3"/>
  <cols>
    <col min="1" max="1" width="42.21875" bestFit="1" customWidth="1"/>
    <col min="3" max="4" width="12.77734375" customWidth="1"/>
    <col min="5" max="5" width="20.6640625" customWidth="1"/>
    <col min="6" max="6" width="14.44140625" customWidth="1"/>
    <col min="7" max="7" width="14.44140625" style="34" customWidth="1"/>
    <col min="12" max="12" width="12.88671875" bestFit="1" customWidth="1"/>
  </cols>
  <sheetData>
    <row r="1" spans="1:11" ht="15.6" x14ac:dyDescent="0.3">
      <c r="A1" s="4" t="s">
        <v>0</v>
      </c>
      <c r="B1" s="5" t="s">
        <v>1</v>
      </c>
      <c r="C1" s="5" t="s">
        <v>2</v>
      </c>
      <c r="D1" s="5" t="s">
        <v>3</v>
      </c>
      <c r="E1" s="5" t="s">
        <v>4</v>
      </c>
      <c r="F1" s="6" t="s">
        <v>5</v>
      </c>
      <c r="G1" s="30" t="s">
        <v>103</v>
      </c>
    </row>
    <row r="2" spans="1:11" x14ac:dyDescent="0.3">
      <c r="A2" s="2" t="s">
        <v>6</v>
      </c>
      <c r="B2" s="1">
        <v>1942</v>
      </c>
      <c r="C2" s="1" t="s">
        <v>7</v>
      </c>
      <c r="D2" s="11">
        <v>102</v>
      </c>
      <c r="E2" s="1" t="s">
        <v>8</v>
      </c>
      <c r="F2" s="3">
        <v>8.5</v>
      </c>
      <c r="G2" s="31" t="str">
        <f>IF(Table1[[#This Row],[IMDb Rating]]&gt;=9,"9+",IF(Table1[[#This Row],[IMDb Rating]]&gt;=8,"8 - 8.9",IF(Table1[[#This Row],[IMDb Rating]]&gt;=7,"7-7.9","Below 7")))</f>
        <v>8 - 8.9</v>
      </c>
    </row>
    <row r="3" spans="1:11" x14ac:dyDescent="0.3">
      <c r="A3" s="2" t="s">
        <v>9</v>
      </c>
      <c r="B3" s="1">
        <v>1960</v>
      </c>
      <c r="C3" s="1" t="s">
        <v>10</v>
      </c>
      <c r="D3" s="1">
        <v>109</v>
      </c>
      <c r="E3" s="1" t="s">
        <v>11</v>
      </c>
      <c r="F3" s="3">
        <v>8.5</v>
      </c>
      <c r="G3" s="32" t="str">
        <f>IF(Table1[[#This Row],[IMDb Rating]]&gt;=9,"9+",IF(Table1[[#This Row],[IMDb Rating]]&gt;=8,"8 - 8.9",IF(Table1[[#This Row],[IMDb Rating]]&gt;=7,"7-7.9","Below 7")))</f>
        <v>8 - 8.9</v>
      </c>
      <c r="K3" t="s">
        <v>94</v>
      </c>
    </row>
    <row r="4" spans="1:11" x14ac:dyDescent="0.3">
      <c r="A4" s="2" t="s">
        <v>12</v>
      </c>
      <c r="B4" s="1">
        <v>1972</v>
      </c>
      <c r="C4" s="1" t="s">
        <v>10</v>
      </c>
      <c r="D4" s="11">
        <v>175</v>
      </c>
      <c r="E4" s="1" t="s">
        <v>13</v>
      </c>
      <c r="F4" s="3">
        <v>9.1999999999999993</v>
      </c>
      <c r="G4" s="32" t="str">
        <f>IF(Table1[[#This Row],[IMDb Rating]]&gt;=9,"9+",IF(Table1[[#This Row],[IMDb Rating]]&gt;=8,"8 - 8.9",IF(Table1[[#This Row],[IMDb Rating]]&gt;=7,"7-7.9","Below 7")))</f>
        <v>9+</v>
      </c>
    </row>
    <row r="5" spans="1:11" x14ac:dyDescent="0.3">
      <c r="A5" s="2" t="s">
        <v>14</v>
      </c>
      <c r="B5" s="1">
        <v>1977</v>
      </c>
      <c r="C5" s="1" t="s">
        <v>7</v>
      </c>
      <c r="D5" s="1">
        <v>121</v>
      </c>
      <c r="E5" s="1" t="s">
        <v>15</v>
      </c>
      <c r="F5" s="3">
        <v>8.6</v>
      </c>
      <c r="G5" s="32" t="str">
        <f>IF(Table1[[#This Row],[IMDb Rating]]&gt;=9,"9+",IF(Table1[[#This Row],[IMDb Rating]]&gt;=8,"8 - 8.9",IF(Table1[[#This Row],[IMDb Rating]]&gt;=7,"7-7.9","Below 7")))</f>
        <v>8 - 8.9</v>
      </c>
    </row>
    <row r="6" spans="1:11" x14ac:dyDescent="0.3">
      <c r="A6" s="2" t="s">
        <v>16</v>
      </c>
      <c r="B6" s="1">
        <v>1982</v>
      </c>
      <c r="C6" s="1" t="s">
        <v>7</v>
      </c>
      <c r="D6" s="11">
        <v>115</v>
      </c>
      <c r="E6" s="1" t="s">
        <v>17</v>
      </c>
      <c r="F6" s="3">
        <v>7.8</v>
      </c>
      <c r="G6" s="32" t="str">
        <f>IF(Table1[[#This Row],[IMDb Rating]]&gt;=9,"9+",IF(Table1[[#This Row],[IMDb Rating]]&gt;=8,"8 - 8.9",IF(Table1[[#This Row],[IMDb Rating]]&gt;=7,"7-7.9","Below 7")))</f>
        <v>7-7.9</v>
      </c>
    </row>
    <row r="7" spans="1:11" x14ac:dyDescent="0.3">
      <c r="A7" s="2" t="s">
        <v>18</v>
      </c>
      <c r="B7" s="1">
        <v>1991</v>
      </c>
      <c r="C7" s="1" t="s">
        <v>10</v>
      </c>
      <c r="D7" s="1">
        <v>137</v>
      </c>
      <c r="E7" s="1" t="s">
        <v>19</v>
      </c>
      <c r="F7" s="3">
        <v>8.5</v>
      </c>
      <c r="G7" s="32" t="str">
        <f>IF(Table1[[#This Row],[IMDb Rating]]&gt;=9,"9+",IF(Table1[[#This Row],[IMDb Rating]]&gt;=8,"8 - 8.9",IF(Table1[[#This Row],[IMDb Rating]]&gt;=7,"7-7.9","Below 7")))</f>
        <v>8 - 8.9</v>
      </c>
    </row>
    <row r="8" spans="1:11" x14ac:dyDescent="0.3">
      <c r="A8" s="2" t="s">
        <v>20</v>
      </c>
      <c r="B8" s="1">
        <v>1994</v>
      </c>
      <c r="C8" s="1" t="s">
        <v>21</v>
      </c>
      <c r="D8" s="11">
        <v>142</v>
      </c>
      <c r="E8" s="1" t="s">
        <v>8</v>
      </c>
      <c r="F8" s="3">
        <v>8.8000000000000007</v>
      </c>
      <c r="G8" s="32" t="str">
        <f>IF(Table1[[#This Row],[IMDb Rating]]&gt;=9,"9+",IF(Table1[[#This Row],[IMDb Rating]]&gt;=8,"8 - 8.9",IF(Table1[[#This Row],[IMDb Rating]]&gt;=7,"7-7.9","Below 7")))</f>
        <v>8 - 8.9</v>
      </c>
    </row>
    <row r="9" spans="1:11" x14ac:dyDescent="0.3">
      <c r="A9" s="2" t="s">
        <v>22</v>
      </c>
      <c r="B9" s="1">
        <v>1997</v>
      </c>
      <c r="C9" s="1" t="s">
        <v>21</v>
      </c>
      <c r="D9" s="1">
        <v>195</v>
      </c>
      <c r="E9" s="1" t="s">
        <v>8</v>
      </c>
      <c r="F9" s="3">
        <v>7.8</v>
      </c>
      <c r="G9" s="32" t="str">
        <f>IF(Table1[[#This Row],[IMDb Rating]]&gt;=9,"9+",IF(Table1[[#This Row],[IMDb Rating]]&gt;=8,"8 - 8.9",IF(Table1[[#This Row],[IMDb Rating]]&gt;=7,"7-7.9","Below 7")))</f>
        <v>7-7.9</v>
      </c>
    </row>
    <row r="10" spans="1:11" x14ac:dyDescent="0.3">
      <c r="A10" s="2" t="s">
        <v>23</v>
      </c>
      <c r="B10" s="1">
        <v>1999</v>
      </c>
      <c r="C10" s="1" t="s">
        <v>10</v>
      </c>
      <c r="D10" s="11">
        <v>136</v>
      </c>
      <c r="E10" s="1" t="s">
        <v>19</v>
      </c>
      <c r="F10" s="3">
        <v>8.6999999999999993</v>
      </c>
      <c r="G10" s="32" t="str">
        <f>IF(Table1[[#This Row],[IMDb Rating]]&gt;=9,"9+",IF(Table1[[#This Row],[IMDb Rating]]&gt;=8,"8 - 8.9",IF(Table1[[#This Row],[IMDb Rating]]&gt;=7,"7-7.9","Below 7")))</f>
        <v>8 - 8.9</v>
      </c>
    </row>
    <row r="11" spans="1:11" x14ac:dyDescent="0.3">
      <c r="A11" s="2" t="s">
        <v>24</v>
      </c>
      <c r="B11" s="1">
        <v>2000</v>
      </c>
      <c r="C11" s="1" t="s">
        <v>10</v>
      </c>
      <c r="D11" s="1">
        <v>155</v>
      </c>
      <c r="E11" s="1" t="s">
        <v>25</v>
      </c>
      <c r="F11" s="3">
        <v>8.5</v>
      </c>
      <c r="G11" s="32" t="str">
        <f>IF(Table1[[#This Row],[IMDb Rating]]&gt;=9,"9+",IF(Table1[[#This Row],[IMDb Rating]]&gt;=8,"8 - 8.9",IF(Table1[[#This Row],[IMDb Rating]]&gt;=7,"7-7.9","Below 7")))</f>
        <v>8 - 8.9</v>
      </c>
    </row>
    <row r="12" spans="1:11" x14ac:dyDescent="0.3">
      <c r="A12" s="2" t="s">
        <v>26</v>
      </c>
      <c r="B12" s="1">
        <v>2001</v>
      </c>
      <c r="C12" s="1" t="s">
        <v>21</v>
      </c>
      <c r="D12" s="11">
        <v>178</v>
      </c>
      <c r="E12" s="1" t="s">
        <v>27</v>
      </c>
      <c r="F12" s="3">
        <v>8.8000000000000007</v>
      </c>
      <c r="G12" s="32" t="str">
        <f>IF(Table1[[#This Row],[IMDb Rating]]&gt;=9,"9+",IF(Table1[[#This Row],[IMDb Rating]]&gt;=8,"8 - 8.9",IF(Table1[[#This Row],[IMDb Rating]]&gt;=7,"7-7.9","Below 7")))</f>
        <v>8 - 8.9</v>
      </c>
    </row>
    <row r="13" spans="1:11" x14ac:dyDescent="0.3">
      <c r="A13" s="2" t="s">
        <v>28</v>
      </c>
      <c r="B13" s="1">
        <v>2001</v>
      </c>
      <c r="C13" s="1" t="s">
        <v>7</v>
      </c>
      <c r="D13" s="1">
        <v>125</v>
      </c>
      <c r="E13" s="1" t="s">
        <v>29</v>
      </c>
      <c r="F13" s="3">
        <v>8.6</v>
      </c>
      <c r="G13" s="32" t="str">
        <f>IF(Table1[[#This Row],[IMDb Rating]]&gt;=9,"9+",IF(Table1[[#This Row],[IMDb Rating]]&gt;=8,"8 - 8.9",IF(Table1[[#This Row],[IMDb Rating]]&gt;=7,"7-7.9","Below 7")))</f>
        <v>8 - 8.9</v>
      </c>
    </row>
    <row r="14" spans="1:11" x14ac:dyDescent="0.3">
      <c r="A14" s="2" t="s">
        <v>30</v>
      </c>
      <c r="B14" s="1">
        <v>2008</v>
      </c>
      <c r="C14" s="1" t="s">
        <v>21</v>
      </c>
      <c r="D14" s="11">
        <v>152</v>
      </c>
      <c r="E14" s="1" t="s">
        <v>31</v>
      </c>
      <c r="F14" s="3">
        <v>9</v>
      </c>
      <c r="G14" s="32" t="str">
        <f>IF(Table1[[#This Row],[IMDb Rating]]&gt;=9,"9+",IF(Table1[[#This Row],[IMDb Rating]]&gt;=8,"8 - 8.9",IF(Table1[[#This Row],[IMDb Rating]]&gt;=7,"7-7.9","Below 7")))</f>
        <v>9+</v>
      </c>
    </row>
    <row r="15" spans="1:11" x14ac:dyDescent="0.3">
      <c r="A15" s="2" t="s">
        <v>32</v>
      </c>
      <c r="B15" s="1">
        <v>2010</v>
      </c>
      <c r="C15" s="1" t="s">
        <v>21</v>
      </c>
      <c r="D15" s="1">
        <v>148</v>
      </c>
      <c r="E15" s="1" t="s">
        <v>15</v>
      </c>
      <c r="F15" s="3">
        <v>8.8000000000000007</v>
      </c>
      <c r="G15" s="32" t="str">
        <f>IF(Table1[[#This Row],[IMDb Rating]]&gt;=9,"9+",IF(Table1[[#This Row],[IMDb Rating]]&gt;=8,"8 - 8.9",IF(Table1[[#This Row],[IMDb Rating]]&gt;=7,"7-7.9","Below 7")))</f>
        <v>8 - 8.9</v>
      </c>
    </row>
    <row r="16" spans="1:11" x14ac:dyDescent="0.3">
      <c r="A16" s="2" t="s">
        <v>33</v>
      </c>
      <c r="B16" s="1">
        <v>2012</v>
      </c>
      <c r="C16" s="1" t="s">
        <v>21</v>
      </c>
      <c r="D16" s="11">
        <v>143</v>
      </c>
      <c r="E16" s="1" t="s">
        <v>15</v>
      </c>
      <c r="F16" s="3">
        <v>8</v>
      </c>
      <c r="G16" s="32" t="str">
        <f>IF(Table1[[#This Row],[IMDb Rating]]&gt;=9,"9+",IF(Table1[[#This Row],[IMDb Rating]]&gt;=8,"8 - 8.9",IF(Table1[[#This Row],[IMDb Rating]]&gt;=7,"7-7.9","Below 7")))</f>
        <v>8 - 8.9</v>
      </c>
    </row>
    <row r="17" spans="1:7" x14ac:dyDescent="0.3">
      <c r="A17" s="2" t="s">
        <v>34</v>
      </c>
      <c r="B17" s="1">
        <v>2012</v>
      </c>
      <c r="C17" s="1" t="s">
        <v>10</v>
      </c>
      <c r="D17" s="1">
        <v>165</v>
      </c>
      <c r="E17" s="1" t="s">
        <v>35</v>
      </c>
      <c r="F17" s="3">
        <v>8.4</v>
      </c>
      <c r="G17" s="32" t="str">
        <f>IF(Table1[[#This Row],[IMDb Rating]]&gt;=9,"9+",IF(Table1[[#This Row],[IMDb Rating]]&gt;=8,"8 - 8.9",IF(Table1[[#This Row],[IMDb Rating]]&gt;=7,"7-7.9","Below 7")))</f>
        <v>8 - 8.9</v>
      </c>
    </row>
    <row r="18" spans="1:7" x14ac:dyDescent="0.3">
      <c r="A18" s="2" t="s">
        <v>36</v>
      </c>
      <c r="B18" s="1">
        <v>2013</v>
      </c>
      <c r="C18" s="1" t="s">
        <v>7</v>
      </c>
      <c r="D18" s="11">
        <v>102</v>
      </c>
      <c r="E18" s="1" t="s">
        <v>29</v>
      </c>
      <c r="F18" s="3">
        <v>7.4</v>
      </c>
      <c r="G18" s="32" t="str">
        <f>IF(Table1[[#This Row],[IMDb Rating]]&gt;=9,"9+",IF(Table1[[#This Row],[IMDb Rating]]&gt;=8,"8 - 8.9",IF(Table1[[#This Row],[IMDb Rating]]&gt;=7,"7-7.9","Below 7")))</f>
        <v>7-7.9</v>
      </c>
    </row>
    <row r="19" spans="1:7" x14ac:dyDescent="0.3">
      <c r="A19" s="2" t="s">
        <v>37</v>
      </c>
      <c r="B19" s="1">
        <v>2014</v>
      </c>
      <c r="C19" s="1" t="s">
        <v>21</v>
      </c>
      <c r="D19" s="1">
        <v>169</v>
      </c>
      <c r="E19" s="1" t="s">
        <v>27</v>
      </c>
      <c r="F19" s="3">
        <v>8.6</v>
      </c>
      <c r="G19" s="32" t="str">
        <f>IF(Table1[[#This Row],[IMDb Rating]]&gt;=9,"9+",IF(Table1[[#This Row],[IMDb Rating]]&gt;=8,"8 - 8.9",IF(Table1[[#This Row],[IMDb Rating]]&gt;=7,"7-7.9","Below 7")))</f>
        <v>8 - 8.9</v>
      </c>
    </row>
    <row r="20" spans="1:7" x14ac:dyDescent="0.3">
      <c r="A20" s="2" t="s">
        <v>38</v>
      </c>
      <c r="B20" s="1">
        <v>2015</v>
      </c>
      <c r="C20" s="1" t="s">
        <v>21</v>
      </c>
      <c r="D20" s="11">
        <v>144</v>
      </c>
      <c r="E20" s="1" t="s">
        <v>39</v>
      </c>
      <c r="F20" s="3">
        <v>8</v>
      </c>
      <c r="G20" s="32" t="str">
        <f>IF(Table1[[#This Row],[IMDb Rating]]&gt;=9,"9+",IF(Table1[[#This Row],[IMDb Rating]]&gt;=8,"8 - 8.9",IF(Table1[[#This Row],[IMDb Rating]]&gt;=7,"7-7.9","Below 7")))</f>
        <v>8 - 8.9</v>
      </c>
    </row>
    <row r="21" spans="1:7" x14ac:dyDescent="0.3">
      <c r="A21" s="2" t="s">
        <v>40</v>
      </c>
      <c r="B21" s="1">
        <v>2016</v>
      </c>
      <c r="C21" s="1" t="s">
        <v>21</v>
      </c>
      <c r="D21" s="1">
        <v>128</v>
      </c>
      <c r="E21" s="1" t="s">
        <v>41</v>
      </c>
      <c r="F21" s="3">
        <v>8</v>
      </c>
      <c r="G21" s="32" t="str">
        <f>IF(Table1[[#This Row],[IMDb Rating]]&gt;=9,"9+",IF(Table1[[#This Row],[IMDb Rating]]&gt;=8,"8 - 8.9",IF(Table1[[#This Row],[IMDb Rating]]&gt;=7,"7-7.9","Below 7")))</f>
        <v>8 - 8.9</v>
      </c>
    </row>
    <row r="22" spans="1:7" x14ac:dyDescent="0.3">
      <c r="A22" s="2" t="s">
        <v>42</v>
      </c>
      <c r="B22" s="1">
        <v>2017</v>
      </c>
      <c r="C22" s="1" t="s">
        <v>10</v>
      </c>
      <c r="D22" s="11">
        <v>104</v>
      </c>
      <c r="E22" s="1" t="s">
        <v>43</v>
      </c>
      <c r="F22" s="3">
        <v>7.7</v>
      </c>
      <c r="G22" s="32" t="str">
        <f>IF(Table1[[#This Row],[IMDb Rating]]&gt;=9,"9+",IF(Table1[[#This Row],[IMDb Rating]]&gt;=8,"8 - 8.9",IF(Table1[[#This Row],[IMDb Rating]]&gt;=7,"7-7.9","Below 7")))</f>
        <v>7-7.9</v>
      </c>
    </row>
    <row r="23" spans="1:7" x14ac:dyDescent="0.3">
      <c r="A23" s="2" t="s">
        <v>44</v>
      </c>
      <c r="B23" s="1">
        <v>2017</v>
      </c>
      <c r="C23" s="1" t="s">
        <v>10</v>
      </c>
      <c r="D23" s="1">
        <v>123</v>
      </c>
      <c r="E23" s="1" t="s">
        <v>27</v>
      </c>
      <c r="F23" s="3">
        <v>7.3</v>
      </c>
      <c r="G23" s="32" t="str">
        <f>IF(Table1[[#This Row],[IMDb Rating]]&gt;=9,"9+",IF(Table1[[#This Row],[IMDb Rating]]&gt;=8,"8 - 8.9",IF(Table1[[#This Row],[IMDb Rating]]&gt;=7,"7-7.9","Below 7")))</f>
        <v>7-7.9</v>
      </c>
    </row>
    <row r="24" spans="1:7" x14ac:dyDescent="0.3">
      <c r="A24" s="2" t="s">
        <v>45</v>
      </c>
      <c r="B24" s="1">
        <v>2018</v>
      </c>
      <c r="C24" s="1" t="s">
        <v>21</v>
      </c>
      <c r="D24" s="11">
        <v>134</v>
      </c>
      <c r="E24" s="1" t="s">
        <v>15</v>
      </c>
      <c r="F24" s="3">
        <v>7.3</v>
      </c>
      <c r="G24" s="32" t="str">
        <f>IF(Table1[[#This Row],[IMDb Rating]]&gt;=9,"9+",IF(Table1[[#This Row],[IMDb Rating]]&gt;=8,"8 - 8.9",IF(Table1[[#This Row],[IMDb Rating]]&gt;=7,"7-7.9","Below 7")))</f>
        <v>7-7.9</v>
      </c>
    </row>
    <row r="25" spans="1:7" x14ac:dyDescent="0.3">
      <c r="A25" s="2" t="s">
        <v>46</v>
      </c>
      <c r="B25" s="1">
        <v>2019</v>
      </c>
      <c r="C25" s="1" t="s">
        <v>10</v>
      </c>
      <c r="D25" s="1">
        <v>122</v>
      </c>
      <c r="E25" s="1" t="s">
        <v>13</v>
      </c>
      <c r="F25" s="3">
        <v>8.4</v>
      </c>
      <c r="G25" s="32" t="str">
        <f>IF(Table1[[#This Row],[IMDb Rating]]&gt;=9,"9+",IF(Table1[[#This Row],[IMDb Rating]]&gt;=8,"8 - 8.9",IF(Table1[[#This Row],[IMDb Rating]]&gt;=7,"7-7.9","Below 7")))</f>
        <v>8 - 8.9</v>
      </c>
    </row>
    <row r="26" spans="1:7" x14ac:dyDescent="0.3">
      <c r="A26" s="2" t="s">
        <v>47</v>
      </c>
      <c r="B26" s="1">
        <v>2019</v>
      </c>
      <c r="C26" s="1" t="s">
        <v>10</v>
      </c>
      <c r="D26" s="11">
        <v>132</v>
      </c>
      <c r="E26" s="1" t="s">
        <v>41</v>
      </c>
      <c r="F26" s="3">
        <v>8.6</v>
      </c>
      <c r="G26" s="32" t="str">
        <f>IF(Table1[[#This Row],[IMDb Rating]]&gt;=9,"9+",IF(Table1[[#This Row],[IMDb Rating]]&gt;=8,"8 - 8.9",IF(Table1[[#This Row],[IMDb Rating]]&gt;=7,"7-7.9","Below 7")))</f>
        <v>8 - 8.9</v>
      </c>
    </row>
    <row r="27" spans="1:7" x14ac:dyDescent="0.3">
      <c r="A27" s="2" t="s">
        <v>48</v>
      </c>
      <c r="B27" s="1">
        <v>1994</v>
      </c>
      <c r="C27" s="1" t="s">
        <v>10</v>
      </c>
      <c r="D27" s="1">
        <v>142</v>
      </c>
      <c r="E27" s="1" t="s">
        <v>49</v>
      </c>
      <c r="F27" s="3">
        <v>9.3000000000000007</v>
      </c>
      <c r="G27" s="32" t="str">
        <f>IF(Table1[[#This Row],[IMDb Rating]]&gt;=9,"9+",IF(Table1[[#This Row],[IMDb Rating]]&gt;=8,"8 - 8.9",IF(Table1[[#This Row],[IMDb Rating]]&gt;=7,"7-7.9","Below 7")))</f>
        <v>9+</v>
      </c>
    </row>
    <row r="28" spans="1:7" x14ac:dyDescent="0.3">
      <c r="A28" s="2" t="s">
        <v>50</v>
      </c>
      <c r="B28" s="1">
        <v>1994</v>
      </c>
      <c r="C28" s="1" t="s">
        <v>10</v>
      </c>
      <c r="D28" s="11">
        <v>154</v>
      </c>
      <c r="E28" s="1" t="s">
        <v>13</v>
      </c>
      <c r="F28" s="3">
        <v>8.9</v>
      </c>
      <c r="G28" s="32" t="str">
        <f>IF(Table1[[#This Row],[IMDb Rating]]&gt;=9,"9+",IF(Table1[[#This Row],[IMDb Rating]]&gt;=8,"8 - 8.9",IF(Table1[[#This Row],[IMDb Rating]]&gt;=7,"7-7.9","Below 7")))</f>
        <v>8 - 8.9</v>
      </c>
    </row>
    <row r="29" spans="1:7" x14ac:dyDescent="0.3">
      <c r="A29" s="2" t="s">
        <v>51</v>
      </c>
      <c r="B29" s="1">
        <v>1993</v>
      </c>
      <c r="C29" s="1" t="s">
        <v>10</v>
      </c>
      <c r="D29" s="1">
        <v>195</v>
      </c>
      <c r="E29" s="1" t="s">
        <v>52</v>
      </c>
      <c r="F29" s="3">
        <v>8.9</v>
      </c>
      <c r="G29" s="32" t="str">
        <f>IF(Table1[[#This Row],[IMDb Rating]]&gt;=9,"9+",IF(Table1[[#This Row],[IMDb Rating]]&gt;=8,"8 - 8.9",IF(Table1[[#This Row],[IMDb Rating]]&gt;=7,"7-7.9","Below 7")))</f>
        <v>8 - 8.9</v>
      </c>
    </row>
    <row r="30" spans="1:7" x14ac:dyDescent="0.3">
      <c r="A30" s="2" t="s">
        <v>53</v>
      </c>
      <c r="B30" s="1">
        <v>1991</v>
      </c>
      <c r="C30" s="1" t="s">
        <v>10</v>
      </c>
      <c r="D30" s="11">
        <v>118</v>
      </c>
      <c r="E30" s="1" t="s">
        <v>13</v>
      </c>
      <c r="F30" s="3">
        <v>8.6</v>
      </c>
      <c r="G30" s="32" t="str">
        <f>IF(Table1[[#This Row],[IMDb Rating]]&gt;=9,"9+",IF(Table1[[#This Row],[IMDb Rating]]&gt;=8,"8 - 8.9",IF(Table1[[#This Row],[IMDb Rating]]&gt;=7,"7-7.9","Below 7")))</f>
        <v>8 - 8.9</v>
      </c>
    </row>
    <row r="31" spans="1:7" x14ac:dyDescent="0.3">
      <c r="A31" s="2" t="s">
        <v>54</v>
      </c>
      <c r="B31" s="1">
        <v>1999</v>
      </c>
      <c r="C31" s="1" t="s">
        <v>10</v>
      </c>
      <c r="D31" s="1">
        <v>189</v>
      </c>
      <c r="E31" s="1" t="s">
        <v>13</v>
      </c>
      <c r="F31" s="3">
        <v>8.6</v>
      </c>
      <c r="G31" s="32" t="str">
        <f>IF(Table1[[#This Row],[IMDb Rating]]&gt;=9,"9+",IF(Table1[[#This Row],[IMDb Rating]]&gt;=8,"8 - 8.9",IF(Table1[[#This Row],[IMDb Rating]]&gt;=7,"7-7.9","Below 7")))</f>
        <v>8 - 8.9</v>
      </c>
    </row>
    <row r="32" spans="1:7" x14ac:dyDescent="0.3">
      <c r="A32" s="2" t="s">
        <v>55</v>
      </c>
      <c r="B32" s="1">
        <v>1999</v>
      </c>
      <c r="C32" s="1" t="s">
        <v>10</v>
      </c>
      <c r="D32" s="11">
        <v>139</v>
      </c>
      <c r="E32" s="1" t="s">
        <v>49</v>
      </c>
      <c r="F32" s="3">
        <v>8.8000000000000007</v>
      </c>
      <c r="G32" s="32" t="str">
        <f>IF(Table1[[#This Row],[IMDb Rating]]&gt;=9,"9+",IF(Table1[[#This Row],[IMDb Rating]]&gt;=8,"8 - 8.9",IF(Table1[[#This Row],[IMDb Rating]]&gt;=7,"7-7.9","Below 7")))</f>
        <v>8 - 8.9</v>
      </c>
    </row>
    <row r="33" spans="1:7" x14ac:dyDescent="0.3">
      <c r="A33" s="2" t="s">
        <v>56</v>
      </c>
      <c r="B33" s="1">
        <v>2006</v>
      </c>
      <c r="C33" s="1" t="s">
        <v>21</v>
      </c>
      <c r="D33" s="1">
        <v>130</v>
      </c>
      <c r="E33" s="1" t="s">
        <v>57</v>
      </c>
      <c r="F33" s="3">
        <v>8.5</v>
      </c>
      <c r="G33" s="32" t="str">
        <f>IF(Table1[[#This Row],[IMDb Rating]]&gt;=9,"9+",IF(Table1[[#This Row],[IMDb Rating]]&gt;=8,"8 - 8.9",IF(Table1[[#This Row],[IMDb Rating]]&gt;=7,"7-7.9","Below 7")))</f>
        <v>8 - 8.9</v>
      </c>
    </row>
    <row r="34" spans="1:7" x14ac:dyDescent="0.3">
      <c r="A34" s="2" t="s">
        <v>58</v>
      </c>
      <c r="B34" s="1">
        <v>2006</v>
      </c>
      <c r="C34" s="1" t="s">
        <v>10</v>
      </c>
      <c r="D34" s="11">
        <v>151</v>
      </c>
      <c r="E34" s="1" t="s">
        <v>13</v>
      </c>
      <c r="F34" s="3">
        <v>8.5</v>
      </c>
      <c r="G34" s="32" t="str">
        <f>IF(Table1[[#This Row],[IMDb Rating]]&gt;=9,"9+",IF(Table1[[#This Row],[IMDb Rating]]&gt;=8,"8 - 8.9",IF(Table1[[#This Row],[IMDb Rating]]&gt;=7,"7-7.9","Below 7")))</f>
        <v>8 - 8.9</v>
      </c>
    </row>
    <row r="35" spans="1:7" x14ac:dyDescent="0.3">
      <c r="A35" s="2" t="s">
        <v>59</v>
      </c>
      <c r="B35" s="1">
        <v>2007</v>
      </c>
      <c r="C35" s="1" t="s">
        <v>10</v>
      </c>
      <c r="D35" s="1">
        <v>122</v>
      </c>
      <c r="E35" s="1" t="s">
        <v>13</v>
      </c>
      <c r="F35" s="3">
        <v>8.1</v>
      </c>
      <c r="G35" s="32" t="str">
        <f>IF(Table1[[#This Row],[IMDb Rating]]&gt;=9,"9+",IF(Table1[[#This Row],[IMDb Rating]]&gt;=8,"8 - 8.9",IF(Table1[[#This Row],[IMDb Rating]]&gt;=7,"7-7.9","Below 7")))</f>
        <v>8 - 8.9</v>
      </c>
    </row>
    <row r="36" spans="1:7" x14ac:dyDescent="0.3">
      <c r="A36" s="2" t="s">
        <v>60</v>
      </c>
      <c r="B36" s="1">
        <v>2008</v>
      </c>
      <c r="C36" s="1" t="s">
        <v>10</v>
      </c>
      <c r="D36" s="11">
        <v>120</v>
      </c>
      <c r="E36" s="1" t="s">
        <v>8</v>
      </c>
      <c r="F36" s="3">
        <v>8</v>
      </c>
      <c r="G36" s="32" t="str">
        <f>IF(Table1[[#This Row],[IMDb Rating]]&gt;=9,"9+",IF(Table1[[#This Row],[IMDb Rating]]&gt;=8,"8 - 8.9",IF(Table1[[#This Row],[IMDb Rating]]&gt;=7,"7-7.9","Below 7")))</f>
        <v>8 - 8.9</v>
      </c>
    </row>
    <row r="37" spans="1:7" x14ac:dyDescent="0.3">
      <c r="A37" s="2" t="s">
        <v>61</v>
      </c>
      <c r="B37" s="1">
        <v>2010</v>
      </c>
      <c r="C37" s="1" t="s">
        <v>21</v>
      </c>
      <c r="D37" s="1">
        <v>120</v>
      </c>
      <c r="E37" s="1" t="s">
        <v>52</v>
      </c>
      <c r="F37" s="3">
        <v>7.7</v>
      </c>
      <c r="G37" s="32" t="str">
        <f>IF(Table1[[#This Row],[IMDb Rating]]&gt;=9,"9+",IF(Table1[[#This Row],[IMDb Rating]]&gt;=8,"8 - 8.9",IF(Table1[[#This Row],[IMDb Rating]]&gt;=7,"7-7.9","Below 7")))</f>
        <v>7-7.9</v>
      </c>
    </row>
    <row r="38" spans="1:7" x14ac:dyDescent="0.3">
      <c r="A38" s="2" t="s">
        <v>62</v>
      </c>
      <c r="B38" s="1">
        <v>2014</v>
      </c>
      <c r="C38" s="1" t="s">
        <v>10</v>
      </c>
      <c r="D38" s="11">
        <v>99</v>
      </c>
      <c r="E38" s="1" t="s">
        <v>63</v>
      </c>
      <c r="F38" s="3">
        <v>8.1</v>
      </c>
      <c r="G38" s="32" t="str">
        <f>IF(Table1[[#This Row],[IMDb Rating]]&gt;=9,"9+",IF(Table1[[#This Row],[IMDb Rating]]&gt;=8,"8 - 8.9",IF(Table1[[#This Row],[IMDb Rating]]&gt;=7,"7-7.9","Below 7")))</f>
        <v>8 - 8.9</v>
      </c>
    </row>
    <row r="39" spans="1:7" x14ac:dyDescent="0.3">
      <c r="A39" s="2" t="s">
        <v>64</v>
      </c>
      <c r="B39" s="1">
        <v>2014</v>
      </c>
      <c r="C39" s="1" t="s">
        <v>10</v>
      </c>
      <c r="D39" s="1">
        <v>106</v>
      </c>
      <c r="E39" s="1" t="s">
        <v>65</v>
      </c>
      <c r="F39" s="3">
        <v>8.5</v>
      </c>
      <c r="G39" s="32" t="str">
        <f>IF(Table1[[#This Row],[IMDb Rating]]&gt;=9,"9+",IF(Table1[[#This Row],[IMDb Rating]]&gt;=8,"8 - 8.9",IF(Table1[[#This Row],[IMDb Rating]]&gt;=7,"7-7.9","Below 7")))</f>
        <v>8 - 8.9</v>
      </c>
    </row>
    <row r="40" spans="1:7" x14ac:dyDescent="0.3">
      <c r="A40" s="2" t="s">
        <v>66</v>
      </c>
      <c r="B40" s="1">
        <v>2014</v>
      </c>
      <c r="C40" s="1" t="s">
        <v>10</v>
      </c>
      <c r="D40" s="11">
        <v>119</v>
      </c>
      <c r="E40" s="1" t="s">
        <v>41</v>
      </c>
      <c r="F40" s="3">
        <v>7.7</v>
      </c>
      <c r="G40" s="32" t="str">
        <f>IF(Table1[[#This Row],[IMDb Rating]]&gt;=9,"9+",IF(Table1[[#This Row],[IMDb Rating]]&gt;=8,"8 - 8.9",IF(Table1[[#This Row],[IMDb Rating]]&gt;=7,"7-7.9","Below 7")))</f>
        <v>7-7.9</v>
      </c>
    </row>
    <row r="41" spans="1:7" x14ac:dyDescent="0.3">
      <c r="A41" s="2" t="s">
        <v>67</v>
      </c>
      <c r="B41" s="1">
        <v>2015</v>
      </c>
      <c r="C41" s="1" t="s">
        <v>10</v>
      </c>
      <c r="D41" s="1">
        <v>129</v>
      </c>
      <c r="E41" s="1" t="s">
        <v>13</v>
      </c>
      <c r="F41" s="3">
        <v>8.1</v>
      </c>
      <c r="G41" s="32" t="str">
        <f>IF(Table1[[#This Row],[IMDb Rating]]&gt;=9,"9+",IF(Table1[[#This Row],[IMDb Rating]]&gt;=8,"8 - 8.9",IF(Table1[[#This Row],[IMDb Rating]]&gt;=7,"7-7.9","Below 7")))</f>
        <v>8 - 8.9</v>
      </c>
    </row>
    <row r="42" spans="1:7" x14ac:dyDescent="0.3">
      <c r="A42" s="2" t="s">
        <v>68</v>
      </c>
      <c r="B42" s="1">
        <v>2016</v>
      </c>
      <c r="C42" s="1" t="s">
        <v>10</v>
      </c>
      <c r="D42" s="11">
        <v>111</v>
      </c>
      <c r="E42" s="1" t="s">
        <v>49</v>
      </c>
      <c r="F42" s="3">
        <v>7.4</v>
      </c>
      <c r="G42" s="32" t="str">
        <f>IF(Table1[[#This Row],[IMDb Rating]]&gt;=9,"9+",IF(Table1[[#This Row],[IMDb Rating]]&gt;=8,"8 - 8.9",IF(Table1[[#This Row],[IMDb Rating]]&gt;=7,"7-7.9","Below 7")))</f>
        <v>7-7.9</v>
      </c>
    </row>
    <row r="43" spans="1:7" x14ac:dyDescent="0.3">
      <c r="A43" s="2" t="s">
        <v>69</v>
      </c>
      <c r="B43" s="1">
        <v>2017</v>
      </c>
      <c r="C43" s="1" t="s">
        <v>10</v>
      </c>
      <c r="D43" s="1">
        <v>115</v>
      </c>
      <c r="E43" s="1" t="s">
        <v>13</v>
      </c>
      <c r="F43" s="3">
        <v>8.1999999999999993</v>
      </c>
      <c r="G43" s="32" t="str">
        <f>IF(Table1[[#This Row],[IMDb Rating]]&gt;=9,"9+",IF(Table1[[#This Row],[IMDb Rating]]&gt;=8,"8 - 8.9",IF(Table1[[#This Row],[IMDb Rating]]&gt;=7,"7-7.9","Below 7")))</f>
        <v>8 - 8.9</v>
      </c>
    </row>
    <row r="44" spans="1:7" x14ac:dyDescent="0.3">
      <c r="A44" s="2" t="s">
        <v>70</v>
      </c>
      <c r="B44" s="1">
        <v>2018</v>
      </c>
      <c r="C44" s="1" t="s">
        <v>10</v>
      </c>
      <c r="D44" s="11">
        <v>135</v>
      </c>
      <c r="E44" s="1" t="s">
        <v>49</v>
      </c>
      <c r="F44" s="3">
        <v>7.7</v>
      </c>
      <c r="G44" s="32" t="str">
        <f>IF(Table1[[#This Row],[IMDb Rating]]&gt;=9,"9+",IF(Table1[[#This Row],[IMDb Rating]]&gt;=8,"8 - 8.9",IF(Table1[[#This Row],[IMDb Rating]]&gt;=7,"7-7.9","Below 7")))</f>
        <v>7-7.9</v>
      </c>
    </row>
    <row r="45" spans="1:7" x14ac:dyDescent="0.3">
      <c r="A45" s="2" t="s">
        <v>71</v>
      </c>
      <c r="B45" s="1">
        <v>2019</v>
      </c>
      <c r="C45" s="1" t="s">
        <v>10</v>
      </c>
      <c r="D45" s="1">
        <v>161</v>
      </c>
      <c r="E45" s="1" t="s">
        <v>41</v>
      </c>
      <c r="F45" s="3">
        <v>7.6</v>
      </c>
      <c r="G45" s="32" t="str">
        <f>IF(Table1[[#This Row],[IMDb Rating]]&gt;=9,"9+",IF(Table1[[#This Row],[IMDb Rating]]&gt;=8,"8 - 8.9",IF(Table1[[#This Row],[IMDb Rating]]&gt;=7,"7-7.9","Below 7")))</f>
        <v>7-7.9</v>
      </c>
    </row>
    <row r="46" spans="1:7" x14ac:dyDescent="0.3">
      <c r="A46" s="2" t="s">
        <v>72</v>
      </c>
      <c r="B46" s="1">
        <v>2019</v>
      </c>
      <c r="C46" s="1" t="s">
        <v>10</v>
      </c>
      <c r="D46" s="11">
        <v>119</v>
      </c>
      <c r="E46" s="1" t="s">
        <v>73</v>
      </c>
      <c r="F46" s="3">
        <v>8.3000000000000007</v>
      </c>
      <c r="G46" s="32" t="str">
        <f>IF(Table1[[#This Row],[IMDb Rating]]&gt;=9,"9+",IF(Table1[[#This Row],[IMDb Rating]]&gt;=8,"8 - 8.9",IF(Table1[[#This Row],[IMDb Rating]]&gt;=7,"7-7.9","Below 7")))</f>
        <v>8 - 8.9</v>
      </c>
    </row>
    <row r="47" spans="1:7" x14ac:dyDescent="0.3">
      <c r="A47" s="2" t="s">
        <v>74</v>
      </c>
      <c r="B47" s="1">
        <v>2017</v>
      </c>
      <c r="C47" s="1" t="s">
        <v>21</v>
      </c>
      <c r="D47" s="1">
        <v>106</v>
      </c>
      <c r="E47" s="1" t="s">
        <v>25</v>
      </c>
      <c r="F47" s="3">
        <v>7.8</v>
      </c>
      <c r="G47" s="32" t="str">
        <f>IF(Table1[[#This Row],[IMDb Rating]]&gt;=9,"9+",IF(Table1[[#This Row],[IMDb Rating]]&gt;=8,"8 - 8.9",IF(Table1[[#This Row],[IMDb Rating]]&gt;=7,"7-7.9","Below 7")))</f>
        <v>7-7.9</v>
      </c>
    </row>
    <row r="48" spans="1:7" x14ac:dyDescent="0.3">
      <c r="A48" s="2" t="s">
        <v>75</v>
      </c>
      <c r="B48" s="1">
        <v>2015</v>
      </c>
      <c r="C48" s="1" t="s">
        <v>10</v>
      </c>
      <c r="D48" s="11">
        <v>156</v>
      </c>
      <c r="E48" s="1" t="s">
        <v>15</v>
      </c>
      <c r="F48" s="3">
        <v>8</v>
      </c>
      <c r="G48" s="32" t="str">
        <f>IF(Table1[[#This Row],[IMDb Rating]]&gt;=9,"9+",IF(Table1[[#This Row],[IMDb Rating]]&gt;=8,"8 - 8.9",IF(Table1[[#This Row],[IMDb Rating]]&gt;=7,"7-7.9","Below 7")))</f>
        <v>8 - 8.9</v>
      </c>
    </row>
    <row r="49" spans="1:7" x14ac:dyDescent="0.3">
      <c r="A49" s="2" t="s">
        <v>76</v>
      </c>
      <c r="B49" s="1">
        <v>2016</v>
      </c>
      <c r="C49" s="1" t="s">
        <v>21</v>
      </c>
      <c r="D49" s="1">
        <v>116</v>
      </c>
      <c r="E49" s="1" t="s">
        <v>77</v>
      </c>
      <c r="F49" s="3">
        <v>7.9</v>
      </c>
      <c r="G49" s="32" t="str">
        <f>IF(Table1[[#This Row],[IMDb Rating]]&gt;=9,"9+",IF(Table1[[#This Row],[IMDb Rating]]&gt;=8,"8 - 8.9",IF(Table1[[#This Row],[IMDb Rating]]&gt;=7,"7-7.9","Below 7")))</f>
        <v>7-7.9</v>
      </c>
    </row>
    <row r="50" spans="1:7" x14ac:dyDescent="0.3">
      <c r="A50" s="2" t="s">
        <v>78</v>
      </c>
      <c r="B50" s="1">
        <v>2013</v>
      </c>
      <c r="C50" s="1" t="s">
        <v>10</v>
      </c>
      <c r="D50" s="11">
        <v>126</v>
      </c>
      <c r="E50" s="1" t="s">
        <v>8</v>
      </c>
      <c r="F50" s="3">
        <v>8</v>
      </c>
      <c r="G50" s="32" t="str">
        <f>IF(Table1[[#This Row],[IMDb Rating]]&gt;=9,"9+",IF(Table1[[#This Row],[IMDb Rating]]&gt;=8,"8 - 8.9",IF(Table1[[#This Row],[IMDb Rating]]&gt;=7,"7-7.9","Below 7")))</f>
        <v>8 - 8.9</v>
      </c>
    </row>
    <row r="51" spans="1:7" x14ac:dyDescent="0.3">
      <c r="A51" s="7" t="s">
        <v>79</v>
      </c>
      <c r="B51" s="8">
        <v>2014</v>
      </c>
      <c r="C51" s="8" t="s">
        <v>10</v>
      </c>
      <c r="D51" s="1">
        <v>149</v>
      </c>
      <c r="E51" s="8" t="s">
        <v>57</v>
      </c>
      <c r="F51" s="9">
        <v>8.1</v>
      </c>
      <c r="G51" s="33" t="str">
        <f>IF(Table1[[#This Row],[IMDb Rating]]&gt;=9,"9+",IF(Table1[[#This Row],[IMDb Rating]]&gt;=8,"8 - 8.9",IF(Table1[[#This Row],[IMDb Rating]]&gt;=7,"7-7.9","Below 7")))</f>
        <v>8 - 8.9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Back End</vt:lpstr>
      <vt:lpstr>Dashbaord</vt:lpstr>
      <vt:lpstr>Netflix Movies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Girish Gangula</dc:creator>
  <cp:lastModifiedBy>Girish Gangula</cp:lastModifiedBy>
  <dcterms:created xsi:type="dcterms:W3CDTF">2025-10-19T14:13:03Z</dcterms:created>
  <dcterms:modified xsi:type="dcterms:W3CDTF">2025-11-08T14:37:52Z</dcterms:modified>
</cp:coreProperties>
</file>